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k4el-my.sharepoint.com/personal/andreas_nilsson_k4el_se/Documents/PC201909/Dokument/K4 Projekt/VM 2026/"/>
    </mc:Choice>
  </mc:AlternateContent>
  <xr:revisionPtr revIDLastSave="550" documentId="11_A30FC24AA3A50C0419A9B3BB34ED87A6976738C0" xr6:coauthVersionLast="47" xr6:coauthVersionMax="47" xr10:uidLastSave="{91EA5AED-1637-4E70-A7B1-32EE14DFCE00}"/>
  <bookViews>
    <workbookView xWindow="-120" yWindow="-120" windowWidth="29040" windowHeight="17520" tabRatio="759" firstSheet="3" activeTab="3" xr2:uid="{00000000-000D-0000-FFFF-FFFF00000000}"/>
  </bookViews>
  <sheets>
    <sheet name="Startsida" sheetId="1" r:id="rId1"/>
    <sheet name="Blad1" sheetId="34" r:id="rId2"/>
    <sheet name="Blad2" sheetId="35" r:id="rId3"/>
    <sheet name="Matchschema" sheetId="2" r:id="rId4"/>
    <sheet name="Regler" sheetId="3" r:id="rId5"/>
    <sheet name="Ricardo" sheetId="4" r:id="rId6"/>
    <sheet name="Janne" sheetId="5" r:id="rId7"/>
    <sheet name="Bosse" sheetId="6" r:id="rId8"/>
    <sheet name="Stina" sheetId="7" r:id="rId9"/>
    <sheet name="Robban" sheetId="8" r:id="rId10"/>
    <sheet name="Chrille" sheetId="9" r:id="rId11"/>
    <sheet name="John T." sheetId="10" r:id="rId12"/>
    <sheet name="Clabbe" sheetId="11" r:id="rId13"/>
    <sheet name="Dennis" sheetId="12" r:id="rId14"/>
    <sheet name="Monfors" sheetId="13" r:id="rId15"/>
    <sheet name="Anders D." sheetId="14" r:id="rId16"/>
    <sheet name="Evelina" sheetId="15" r:id="rId17"/>
    <sheet name="Nizze" sheetId="16" r:id="rId18"/>
    <sheet name="Sorken" sheetId="17" r:id="rId19"/>
    <sheet name="Peter" sheetId="18" r:id="rId20"/>
    <sheet name="Antonia" sheetId="19" r:id="rId21"/>
    <sheet name="Niklas A." sheetId="20" r:id="rId22"/>
    <sheet name="Thomas B." sheetId="21" r:id="rId23"/>
    <sheet name="Micke" sheetId="22" r:id="rId24"/>
    <sheet name="Robin" sheetId="23" r:id="rId25"/>
    <sheet name="Spelare 21" sheetId="24" r:id="rId26"/>
    <sheet name="Spelare 22" sheetId="25" r:id="rId27"/>
    <sheet name="Spelare 23" sheetId="26" r:id="rId28"/>
    <sheet name="Spelare 24" sheetId="27" r:id="rId29"/>
    <sheet name="Spelare 25" sheetId="28" r:id="rId30"/>
    <sheet name="Spelare 26" sheetId="29" r:id="rId31"/>
    <sheet name="Spelare 27" sheetId="30" r:id="rId32"/>
    <sheet name="Spelare 28" sheetId="31" r:id="rId33"/>
    <sheet name="Spelare 29" sheetId="32" r:id="rId34"/>
    <sheet name="Spelare 30" sheetId="33" r:id="rId3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0" i="33" l="1"/>
  <c r="K110" i="33"/>
  <c r="H110" i="33"/>
  <c r="G110" i="33"/>
  <c r="F110" i="33"/>
  <c r="E110" i="33"/>
  <c r="D110" i="33"/>
  <c r="C110" i="33"/>
  <c r="B110" i="33"/>
  <c r="A110" i="33"/>
  <c r="L109" i="33"/>
  <c r="K109" i="33"/>
  <c r="H109" i="33"/>
  <c r="G109" i="33"/>
  <c r="F109" i="33"/>
  <c r="E109" i="33"/>
  <c r="D109" i="33"/>
  <c r="C109" i="33"/>
  <c r="B109" i="33"/>
  <c r="A109" i="33"/>
  <c r="L108" i="33"/>
  <c r="K108" i="33"/>
  <c r="H108" i="33"/>
  <c r="G108" i="33"/>
  <c r="F108" i="33"/>
  <c r="E108" i="33"/>
  <c r="D108" i="33"/>
  <c r="C108" i="33"/>
  <c r="B108" i="33"/>
  <c r="A108" i="33"/>
  <c r="L107" i="33"/>
  <c r="K107" i="33"/>
  <c r="H107" i="33"/>
  <c r="G107" i="33"/>
  <c r="F107" i="33"/>
  <c r="E107" i="33"/>
  <c r="D107" i="33"/>
  <c r="C107" i="33"/>
  <c r="B107" i="33"/>
  <c r="A107" i="33"/>
  <c r="L106" i="33"/>
  <c r="K106" i="33"/>
  <c r="H106" i="33"/>
  <c r="G106" i="33"/>
  <c r="F106" i="33"/>
  <c r="E106" i="33"/>
  <c r="D106" i="33"/>
  <c r="C106" i="33"/>
  <c r="B106" i="33"/>
  <c r="A106" i="33"/>
  <c r="L105" i="33"/>
  <c r="K105" i="33"/>
  <c r="H105" i="33"/>
  <c r="G105" i="33"/>
  <c r="F105" i="33"/>
  <c r="E105" i="33"/>
  <c r="D105" i="33"/>
  <c r="C105" i="33"/>
  <c r="B105" i="33"/>
  <c r="A105" i="33"/>
  <c r="L104" i="33"/>
  <c r="K104" i="33"/>
  <c r="H104" i="33"/>
  <c r="G104" i="33"/>
  <c r="F104" i="33"/>
  <c r="E104" i="33"/>
  <c r="D104" i="33"/>
  <c r="C104" i="33"/>
  <c r="B104" i="33"/>
  <c r="A104" i="33"/>
  <c r="L103" i="33"/>
  <c r="K103" i="33"/>
  <c r="H103" i="33"/>
  <c r="G103" i="33"/>
  <c r="F103" i="33"/>
  <c r="E103" i="33"/>
  <c r="D103" i="33"/>
  <c r="C103" i="33"/>
  <c r="B103" i="33"/>
  <c r="A103" i="33"/>
  <c r="L102" i="33"/>
  <c r="K102" i="33"/>
  <c r="H102" i="33"/>
  <c r="G102" i="33"/>
  <c r="F102" i="33"/>
  <c r="E102" i="33"/>
  <c r="D102" i="33"/>
  <c r="C102" i="33"/>
  <c r="B102" i="33"/>
  <c r="A102" i="33"/>
  <c r="L101" i="33"/>
  <c r="K101" i="33"/>
  <c r="H101" i="33"/>
  <c r="G101" i="33"/>
  <c r="F101" i="33"/>
  <c r="E101" i="33"/>
  <c r="D101" i="33"/>
  <c r="C101" i="33"/>
  <c r="B101" i="33"/>
  <c r="A101" i="33"/>
  <c r="L100" i="33"/>
  <c r="K100" i="33"/>
  <c r="H100" i="33"/>
  <c r="G100" i="33"/>
  <c r="F100" i="33"/>
  <c r="E100" i="33"/>
  <c r="D100" i="33"/>
  <c r="C100" i="33"/>
  <c r="B100" i="33"/>
  <c r="A100" i="33"/>
  <c r="L99" i="33"/>
  <c r="K99" i="33"/>
  <c r="H99" i="33"/>
  <c r="G99" i="33"/>
  <c r="F99" i="33"/>
  <c r="E99" i="33"/>
  <c r="D99" i="33"/>
  <c r="C99" i="33"/>
  <c r="B99" i="33"/>
  <c r="A99" i="33"/>
  <c r="L98" i="33"/>
  <c r="K98" i="33"/>
  <c r="H98" i="33"/>
  <c r="G98" i="33"/>
  <c r="F98" i="33"/>
  <c r="E98" i="33"/>
  <c r="D98" i="33"/>
  <c r="C98" i="33"/>
  <c r="B98" i="33"/>
  <c r="A98" i="33"/>
  <c r="L97" i="33"/>
  <c r="K97" i="33"/>
  <c r="H97" i="33"/>
  <c r="G97" i="33"/>
  <c r="F97" i="33"/>
  <c r="E97" i="33"/>
  <c r="D97" i="33"/>
  <c r="C97" i="33"/>
  <c r="B97" i="33"/>
  <c r="A97" i="33"/>
  <c r="L96" i="33"/>
  <c r="K96" i="33"/>
  <c r="H96" i="33"/>
  <c r="G96" i="33"/>
  <c r="F96" i="33"/>
  <c r="E96" i="33"/>
  <c r="D96" i="33"/>
  <c r="C96" i="33"/>
  <c r="B96" i="33"/>
  <c r="A96" i="33"/>
  <c r="L95" i="33"/>
  <c r="K95" i="33"/>
  <c r="H95" i="33"/>
  <c r="G95" i="33"/>
  <c r="F95" i="33"/>
  <c r="E95" i="33"/>
  <c r="D95" i="33"/>
  <c r="C95" i="33"/>
  <c r="B95" i="33"/>
  <c r="A95" i="33"/>
  <c r="L94" i="33"/>
  <c r="K94" i="33"/>
  <c r="H94" i="33"/>
  <c r="G94" i="33"/>
  <c r="F94" i="33"/>
  <c r="E94" i="33"/>
  <c r="D94" i="33"/>
  <c r="C94" i="33"/>
  <c r="B94" i="33"/>
  <c r="A94" i="33"/>
  <c r="L93" i="33"/>
  <c r="K93" i="33"/>
  <c r="H93" i="33"/>
  <c r="G93" i="33"/>
  <c r="F93" i="33"/>
  <c r="E93" i="33"/>
  <c r="D93" i="33"/>
  <c r="C93" i="33"/>
  <c r="B93" i="33"/>
  <c r="A93" i="33"/>
  <c r="L92" i="33"/>
  <c r="K92" i="33"/>
  <c r="H92" i="33"/>
  <c r="G92" i="33"/>
  <c r="F92" i="33"/>
  <c r="E92" i="33"/>
  <c r="D92" i="33"/>
  <c r="C92" i="33"/>
  <c r="B92" i="33"/>
  <c r="A92" i="33"/>
  <c r="L91" i="33"/>
  <c r="K91" i="33"/>
  <c r="H91" i="33"/>
  <c r="G91" i="33"/>
  <c r="F91" i="33"/>
  <c r="E91" i="33"/>
  <c r="D91" i="33"/>
  <c r="C91" i="33"/>
  <c r="B91" i="33"/>
  <c r="A91" i="33"/>
  <c r="L90" i="33"/>
  <c r="K90" i="33"/>
  <c r="H90" i="33"/>
  <c r="G90" i="33"/>
  <c r="F90" i="33"/>
  <c r="E90" i="33"/>
  <c r="D90" i="33"/>
  <c r="C90" i="33"/>
  <c r="B90" i="33"/>
  <c r="A90" i="33"/>
  <c r="L89" i="33"/>
  <c r="K89" i="33"/>
  <c r="H89" i="33"/>
  <c r="G89" i="33"/>
  <c r="F89" i="33"/>
  <c r="E89" i="33"/>
  <c r="D89" i="33"/>
  <c r="C89" i="33"/>
  <c r="B89" i="33"/>
  <c r="A89" i="33"/>
  <c r="L88" i="33"/>
  <c r="K88" i="33"/>
  <c r="H88" i="33"/>
  <c r="G88" i="33"/>
  <c r="F88" i="33"/>
  <c r="E88" i="33"/>
  <c r="D88" i="33"/>
  <c r="C88" i="33"/>
  <c r="B88" i="33"/>
  <c r="A88" i="33"/>
  <c r="L87" i="33"/>
  <c r="K87" i="33"/>
  <c r="H87" i="33"/>
  <c r="G87" i="33"/>
  <c r="F87" i="33"/>
  <c r="E87" i="33"/>
  <c r="D87" i="33"/>
  <c r="C87" i="33"/>
  <c r="B87" i="33"/>
  <c r="A87" i="33"/>
  <c r="L86" i="33"/>
  <c r="K86" i="33"/>
  <c r="H86" i="33"/>
  <c r="G86" i="33"/>
  <c r="F86" i="33"/>
  <c r="E86" i="33"/>
  <c r="D86" i="33"/>
  <c r="C86" i="33"/>
  <c r="B86" i="33"/>
  <c r="A86" i="33"/>
  <c r="L85" i="33"/>
  <c r="K85" i="33"/>
  <c r="H85" i="33"/>
  <c r="G85" i="33"/>
  <c r="F85" i="33"/>
  <c r="E85" i="33"/>
  <c r="D85" i="33"/>
  <c r="C85" i="33"/>
  <c r="B85" i="33"/>
  <c r="A85" i="33"/>
  <c r="L84" i="33"/>
  <c r="K84" i="33"/>
  <c r="H84" i="33"/>
  <c r="G84" i="33"/>
  <c r="F84" i="33"/>
  <c r="E84" i="33"/>
  <c r="D84" i="33"/>
  <c r="C84" i="33"/>
  <c r="B84" i="33"/>
  <c r="A84" i="33"/>
  <c r="L83" i="33"/>
  <c r="K83" i="33"/>
  <c r="H83" i="33"/>
  <c r="G83" i="33"/>
  <c r="F83" i="33"/>
  <c r="E83" i="33"/>
  <c r="D83" i="33"/>
  <c r="C83" i="33"/>
  <c r="B83" i="33"/>
  <c r="A83" i="33"/>
  <c r="L82" i="33"/>
  <c r="K82" i="33"/>
  <c r="H82" i="33"/>
  <c r="G82" i="33"/>
  <c r="F82" i="33"/>
  <c r="E82" i="33"/>
  <c r="D82" i="33"/>
  <c r="C82" i="33"/>
  <c r="B82" i="33"/>
  <c r="A82" i="33"/>
  <c r="L81" i="33"/>
  <c r="K81" i="33"/>
  <c r="H81" i="33"/>
  <c r="G81" i="33"/>
  <c r="F81" i="33"/>
  <c r="E81" i="33"/>
  <c r="D81" i="33"/>
  <c r="C81" i="33"/>
  <c r="B81" i="33"/>
  <c r="A81" i="33"/>
  <c r="L80" i="33"/>
  <c r="K80" i="33"/>
  <c r="H80" i="33"/>
  <c r="G80" i="33"/>
  <c r="F80" i="33"/>
  <c r="E80" i="33"/>
  <c r="D80" i="33"/>
  <c r="C80" i="33"/>
  <c r="B80" i="33"/>
  <c r="A80" i="33"/>
  <c r="L79" i="33"/>
  <c r="K79" i="33"/>
  <c r="H79" i="33"/>
  <c r="G79" i="33"/>
  <c r="F79" i="33"/>
  <c r="E79" i="33"/>
  <c r="D79" i="33"/>
  <c r="C79" i="33"/>
  <c r="B79" i="33"/>
  <c r="A79" i="33"/>
  <c r="L78" i="33"/>
  <c r="K78" i="33"/>
  <c r="H78" i="33"/>
  <c r="G78" i="33"/>
  <c r="F78" i="33"/>
  <c r="E78" i="33"/>
  <c r="D78" i="33"/>
  <c r="C78" i="33"/>
  <c r="B78" i="33"/>
  <c r="A78" i="33"/>
  <c r="L77" i="33"/>
  <c r="K77" i="33"/>
  <c r="H77" i="33"/>
  <c r="G77" i="33"/>
  <c r="F77" i="33"/>
  <c r="E77" i="33"/>
  <c r="D77" i="33"/>
  <c r="C77" i="33"/>
  <c r="B77" i="33"/>
  <c r="A77" i="33"/>
  <c r="L76" i="33"/>
  <c r="K76" i="33"/>
  <c r="H76" i="33"/>
  <c r="G76" i="33"/>
  <c r="F76" i="33"/>
  <c r="E76" i="33"/>
  <c r="D76" i="33"/>
  <c r="C76" i="33"/>
  <c r="B76" i="33"/>
  <c r="A76" i="33"/>
  <c r="L75" i="33"/>
  <c r="K75" i="33"/>
  <c r="H75" i="33"/>
  <c r="G75" i="33"/>
  <c r="F75" i="33"/>
  <c r="E75" i="33"/>
  <c r="D75" i="33"/>
  <c r="C75" i="33"/>
  <c r="B75" i="33"/>
  <c r="A75" i="33"/>
  <c r="L74" i="33"/>
  <c r="K74" i="33"/>
  <c r="H74" i="33"/>
  <c r="G74" i="33"/>
  <c r="F74" i="33"/>
  <c r="E74" i="33"/>
  <c r="D74" i="33"/>
  <c r="C74" i="33"/>
  <c r="B74" i="33"/>
  <c r="A74" i="33"/>
  <c r="L73" i="33"/>
  <c r="K73" i="33"/>
  <c r="H73" i="33"/>
  <c r="G73" i="33"/>
  <c r="F73" i="33"/>
  <c r="E73" i="33"/>
  <c r="D73" i="33"/>
  <c r="C73" i="33"/>
  <c r="B73" i="33"/>
  <c r="A73" i="33"/>
  <c r="L72" i="33"/>
  <c r="K72" i="33"/>
  <c r="H72" i="33"/>
  <c r="G72" i="33"/>
  <c r="F72" i="33"/>
  <c r="E72" i="33"/>
  <c r="D72" i="33"/>
  <c r="C72" i="33"/>
  <c r="B72" i="33"/>
  <c r="A72" i="33"/>
  <c r="L71" i="33"/>
  <c r="K71" i="33"/>
  <c r="H71" i="33"/>
  <c r="G71" i="33"/>
  <c r="F71" i="33"/>
  <c r="E71" i="33"/>
  <c r="D71" i="33"/>
  <c r="C71" i="33"/>
  <c r="B71" i="33"/>
  <c r="A71" i="33"/>
  <c r="L70" i="33"/>
  <c r="K70" i="33"/>
  <c r="H70" i="33"/>
  <c r="G70" i="33"/>
  <c r="F70" i="33"/>
  <c r="E70" i="33"/>
  <c r="D70" i="33"/>
  <c r="C70" i="33"/>
  <c r="B70" i="33"/>
  <c r="A70" i="33"/>
  <c r="L69" i="33"/>
  <c r="K69" i="33"/>
  <c r="H69" i="33"/>
  <c r="G69" i="33"/>
  <c r="F69" i="33"/>
  <c r="E69" i="33"/>
  <c r="D69" i="33"/>
  <c r="C69" i="33"/>
  <c r="B69" i="33"/>
  <c r="A69" i="33"/>
  <c r="L68" i="33"/>
  <c r="K68" i="33"/>
  <c r="H68" i="33"/>
  <c r="G68" i="33"/>
  <c r="F68" i="33"/>
  <c r="E68" i="33"/>
  <c r="D68" i="33"/>
  <c r="C68" i="33"/>
  <c r="B68" i="33"/>
  <c r="A68" i="33"/>
  <c r="L67" i="33"/>
  <c r="K67" i="33"/>
  <c r="H67" i="33"/>
  <c r="G67" i="33"/>
  <c r="F67" i="33"/>
  <c r="E67" i="33"/>
  <c r="D67" i="33"/>
  <c r="C67" i="33"/>
  <c r="B67" i="33"/>
  <c r="A67" i="33"/>
  <c r="L66" i="33"/>
  <c r="K66" i="33"/>
  <c r="H66" i="33"/>
  <c r="G66" i="33"/>
  <c r="F66" i="33"/>
  <c r="E66" i="33"/>
  <c r="D66" i="33"/>
  <c r="C66" i="33"/>
  <c r="B66" i="33"/>
  <c r="A66" i="33"/>
  <c r="L65" i="33"/>
  <c r="K65" i="33"/>
  <c r="H65" i="33"/>
  <c r="G65" i="33"/>
  <c r="F65" i="33"/>
  <c r="E65" i="33"/>
  <c r="D65" i="33"/>
  <c r="C65" i="33"/>
  <c r="B65" i="33"/>
  <c r="A65" i="33"/>
  <c r="L64" i="33"/>
  <c r="K64" i="33"/>
  <c r="H64" i="33"/>
  <c r="G64" i="33"/>
  <c r="F64" i="33"/>
  <c r="E64" i="33"/>
  <c r="D64" i="33"/>
  <c r="C64" i="33"/>
  <c r="B64" i="33"/>
  <c r="A64" i="33"/>
  <c r="L63" i="33"/>
  <c r="K63" i="33"/>
  <c r="H63" i="33"/>
  <c r="G63" i="33"/>
  <c r="F63" i="33"/>
  <c r="E63" i="33"/>
  <c r="D63" i="33"/>
  <c r="C63" i="33"/>
  <c r="B63" i="33"/>
  <c r="A63" i="33"/>
  <c r="L62" i="33"/>
  <c r="K62" i="33"/>
  <c r="H62" i="33"/>
  <c r="G62" i="33"/>
  <c r="F62" i="33"/>
  <c r="E62" i="33"/>
  <c r="D62" i="33"/>
  <c r="C62" i="33"/>
  <c r="B62" i="33"/>
  <c r="A62" i="33"/>
  <c r="L61" i="33"/>
  <c r="K61" i="33"/>
  <c r="H61" i="33"/>
  <c r="G61" i="33"/>
  <c r="F61" i="33"/>
  <c r="E61" i="33"/>
  <c r="D61" i="33"/>
  <c r="C61" i="33"/>
  <c r="B61" i="33"/>
  <c r="A61" i="33"/>
  <c r="L60" i="33"/>
  <c r="K60" i="33"/>
  <c r="H60" i="33"/>
  <c r="G60" i="33"/>
  <c r="F60" i="33"/>
  <c r="E60" i="33"/>
  <c r="D60" i="33"/>
  <c r="C60" i="33"/>
  <c r="B60" i="33"/>
  <c r="A60" i="33"/>
  <c r="L59" i="33"/>
  <c r="K59" i="33"/>
  <c r="H59" i="33"/>
  <c r="G59" i="33"/>
  <c r="F59" i="33"/>
  <c r="E59" i="33"/>
  <c r="D59" i="33"/>
  <c r="C59" i="33"/>
  <c r="B59" i="33"/>
  <c r="A59" i="33"/>
  <c r="L58" i="33"/>
  <c r="K58" i="33"/>
  <c r="H58" i="33"/>
  <c r="G58" i="33"/>
  <c r="F58" i="33"/>
  <c r="E58" i="33"/>
  <c r="D58" i="33"/>
  <c r="C58" i="33"/>
  <c r="B58" i="33"/>
  <c r="A58" i="33"/>
  <c r="L57" i="33"/>
  <c r="K57" i="33"/>
  <c r="H57" i="33"/>
  <c r="G57" i="33"/>
  <c r="F57" i="33"/>
  <c r="E57" i="33"/>
  <c r="D57" i="33"/>
  <c r="C57" i="33"/>
  <c r="B57" i="33"/>
  <c r="A57" i="33"/>
  <c r="L56" i="33"/>
  <c r="K56" i="33"/>
  <c r="H56" i="33"/>
  <c r="G56" i="33"/>
  <c r="F56" i="33"/>
  <c r="E56" i="33"/>
  <c r="D56" i="33"/>
  <c r="C56" i="33"/>
  <c r="B56" i="33"/>
  <c r="A56" i="33"/>
  <c r="L55" i="33"/>
  <c r="K55" i="33"/>
  <c r="H55" i="33"/>
  <c r="G55" i="33"/>
  <c r="F55" i="33"/>
  <c r="E55" i="33"/>
  <c r="D55" i="33"/>
  <c r="C55" i="33"/>
  <c r="B55" i="33"/>
  <c r="A55" i="33"/>
  <c r="L54" i="33"/>
  <c r="K54" i="33"/>
  <c r="H54" i="33"/>
  <c r="G54" i="33"/>
  <c r="F54" i="33"/>
  <c r="E54" i="33"/>
  <c r="D54" i="33"/>
  <c r="C54" i="33"/>
  <c r="B54" i="33"/>
  <c r="A54" i="33"/>
  <c r="L53" i="33"/>
  <c r="K53" i="33"/>
  <c r="H53" i="33"/>
  <c r="G53" i="33"/>
  <c r="F53" i="33"/>
  <c r="E53" i="33"/>
  <c r="D53" i="33"/>
  <c r="C53" i="33"/>
  <c r="B53" i="33"/>
  <c r="A53" i="33"/>
  <c r="L52" i="33"/>
  <c r="K52" i="33"/>
  <c r="H52" i="33"/>
  <c r="G52" i="33"/>
  <c r="F52" i="33"/>
  <c r="E52" i="33"/>
  <c r="D52" i="33"/>
  <c r="C52" i="33"/>
  <c r="B52" i="33"/>
  <c r="A52" i="33"/>
  <c r="L51" i="33"/>
  <c r="K51" i="33"/>
  <c r="H51" i="33"/>
  <c r="G51" i="33"/>
  <c r="F51" i="33"/>
  <c r="E51" i="33"/>
  <c r="D51" i="33"/>
  <c r="C51" i="33"/>
  <c r="B51" i="33"/>
  <c r="A51" i="33"/>
  <c r="L50" i="33"/>
  <c r="K50" i="33"/>
  <c r="H50" i="33"/>
  <c r="G50" i="33"/>
  <c r="F50" i="33"/>
  <c r="E50" i="33"/>
  <c r="D50" i="33"/>
  <c r="C50" i="33"/>
  <c r="B50" i="33"/>
  <c r="A50" i="33"/>
  <c r="L49" i="33"/>
  <c r="K49" i="33"/>
  <c r="H49" i="33"/>
  <c r="G49" i="33"/>
  <c r="F49" i="33"/>
  <c r="E49" i="33"/>
  <c r="D49" i="33"/>
  <c r="C49" i="33"/>
  <c r="B49" i="33"/>
  <c r="A49" i="33"/>
  <c r="L48" i="33"/>
  <c r="K48" i="33"/>
  <c r="H48" i="33"/>
  <c r="G48" i="33"/>
  <c r="F48" i="33"/>
  <c r="E48" i="33"/>
  <c r="D48" i="33"/>
  <c r="C48" i="33"/>
  <c r="B48" i="33"/>
  <c r="A48" i="33"/>
  <c r="L47" i="33"/>
  <c r="K47" i="33"/>
  <c r="H47" i="33"/>
  <c r="G47" i="33"/>
  <c r="F47" i="33"/>
  <c r="E47" i="33"/>
  <c r="D47" i="33"/>
  <c r="C47" i="33"/>
  <c r="B47" i="33"/>
  <c r="A47" i="33"/>
  <c r="L46" i="33"/>
  <c r="K46" i="33"/>
  <c r="H46" i="33"/>
  <c r="G46" i="33"/>
  <c r="F46" i="33"/>
  <c r="E46" i="33"/>
  <c r="D46" i="33"/>
  <c r="C46" i="33"/>
  <c r="B46" i="33"/>
  <c r="A46" i="33"/>
  <c r="L45" i="33"/>
  <c r="K45" i="33"/>
  <c r="H45" i="33"/>
  <c r="G45" i="33"/>
  <c r="F45" i="33"/>
  <c r="E45" i="33"/>
  <c r="D45" i="33"/>
  <c r="C45" i="33"/>
  <c r="B45" i="33"/>
  <c r="A45" i="33"/>
  <c r="L44" i="33"/>
  <c r="K44" i="33"/>
  <c r="H44" i="33"/>
  <c r="G44" i="33"/>
  <c r="F44" i="33"/>
  <c r="E44" i="33"/>
  <c r="D44" i="33"/>
  <c r="C44" i="33"/>
  <c r="B44" i="33"/>
  <c r="A44" i="33"/>
  <c r="L43" i="33"/>
  <c r="K43" i="33"/>
  <c r="H43" i="33"/>
  <c r="G43" i="33"/>
  <c r="F43" i="33"/>
  <c r="E43" i="33"/>
  <c r="D43" i="33"/>
  <c r="C43" i="33"/>
  <c r="B43" i="33"/>
  <c r="A43" i="33"/>
  <c r="L42" i="33"/>
  <c r="K42" i="33"/>
  <c r="H42" i="33"/>
  <c r="G42" i="33"/>
  <c r="F42" i="33"/>
  <c r="E42" i="33"/>
  <c r="D42" i="33"/>
  <c r="C42" i="33"/>
  <c r="B42" i="33"/>
  <c r="A42" i="33"/>
  <c r="L41" i="33"/>
  <c r="K41" i="33"/>
  <c r="H41" i="33"/>
  <c r="G41" i="33"/>
  <c r="F41" i="33"/>
  <c r="E41" i="33"/>
  <c r="D41" i="33"/>
  <c r="C41" i="33"/>
  <c r="B41" i="33"/>
  <c r="A41" i="33"/>
  <c r="L40" i="33"/>
  <c r="K40" i="33"/>
  <c r="H40" i="33"/>
  <c r="G40" i="33"/>
  <c r="F40" i="33"/>
  <c r="E40" i="33"/>
  <c r="D40" i="33"/>
  <c r="C40" i="33"/>
  <c r="B40" i="33"/>
  <c r="A40" i="33"/>
  <c r="L39" i="33"/>
  <c r="K39" i="33"/>
  <c r="H39" i="33"/>
  <c r="G39" i="33"/>
  <c r="F39" i="33"/>
  <c r="E39" i="33"/>
  <c r="D39" i="33"/>
  <c r="C39" i="33"/>
  <c r="B39" i="33"/>
  <c r="A39" i="33"/>
  <c r="L38" i="33"/>
  <c r="K38" i="33"/>
  <c r="H38" i="33"/>
  <c r="G38" i="33"/>
  <c r="F38" i="33"/>
  <c r="E38" i="33"/>
  <c r="D38" i="33"/>
  <c r="C38" i="33"/>
  <c r="B38" i="33"/>
  <c r="A38" i="33"/>
  <c r="L37" i="33"/>
  <c r="K37" i="33"/>
  <c r="H37" i="33"/>
  <c r="G37" i="33"/>
  <c r="F37" i="33"/>
  <c r="E37" i="33"/>
  <c r="D37" i="33"/>
  <c r="C37" i="33"/>
  <c r="B37" i="33"/>
  <c r="A37" i="33"/>
  <c r="L36" i="33"/>
  <c r="K36" i="33"/>
  <c r="H36" i="33"/>
  <c r="G36" i="33"/>
  <c r="F36" i="33"/>
  <c r="E36" i="33"/>
  <c r="D36" i="33"/>
  <c r="C36" i="33"/>
  <c r="B36" i="33"/>
  <c r="A36" i="33"/>
  <c r="L35" i="33"/>
  <c r="K35" i="33"/>
  <c r="H35" i="33"/>
  <c r="G35" i="33"/>
  <c r="F35" i="33"/>
  <c r="E35" i="33"/>
  <c r="D35" i="33"/>
  <c r="C35" i="33"/>
  <c r="B35" i="33"/>
  <c r="A35" i="33"/>
  <c r="L34" i="33"/>
  <c r="K34" i="33"/>
  <c r="H34" i="33"/>
  <c r="G34" i="33"/>
  <c r="F34" i="33"/>
  <c r="E34" i="33"/>
  <c r="D34" i="33"/>
  <c r="C34" i="33"/>
  <c r="B34" i="33"/>
  <c r="A34" i="33"/>
  <c r="L33" i="33"/>
  <c r="K33" i="33"/>
  <c r="H33" i="33"/>
  <c r="G33" i="33"/>
  <c r="F33" i="33"/>
  <c r="E33" i="33"/>
  <c r="D33" i="33"/>
  <c r="C33" i="33"/>
  <c r="B33" i="33"/>
  <c r="A33" i="33"/>
  <c r="L32" i="33"/>
  <c r="K32" i="33"/>
  <c r="H32" i="33"/>
  <c r="G32" i="33"/>
  <c r="F32" i="33"/>
  <c r="E32" i="33"/>
  <c r="D32" i="33"/>
  <c r="C32" i="33"/>
  <c r="B32" i="33"/>
  <c r="A32" i="33"/>
  <c r="L31" i="33"/>
  <c r="K31" i="33"/>
  <c r="H31" i="33"/>
  <c r="G31" i="33"/>
  <c r="F31" i="33"/>
  <c r="E31" i="33"/>
  <c r="D31" i="33"/>
  <c r="C31" i="33"/>
  <c r="B31" i="33"/>
  <c r="A31" i="33"/>
  <c r="L30" i="33"/>
  <c r="K30" i="33"/>
  <c r="H30" i="33"/>
  <c r="G30" i="33"/>
  <c r="F30" i="33"/>
  <c r="E30" i="33"/>
  <c r="D30" i="33"/>
  <c r="C30" i="33"/>
  <c r="B30" i="33"/>
  <c r="A30" i="33"/>
  <c r="L29" i="33"/>
  <c r="K29" i="33"/>
  <c r="H29" i="33"/>
  <c r="G29" i="33"/>
  <c r="F29" i="33"/>
  <c r="E29" i="33"/>
  <c r="D29" i="33"/>
  <c r="C29" i="33"/>
  <c r="B29" i="33"/>
  <c r="A29" i="33"/>
  <c r="L28" i="33"/>
  <c r="K28" i="33"/>
  <c r="H28" i="33"/>
  <c r="G28" i="33"/>
  <c r="F28" i="33"/>
  <c r="E28" i="33"/>
  <c r="D28" i="33"/>
  <c r="C28" i="33"/>
  <c r="B28" i="33"/>
  <c r="A28" i="33"/>
  <c r="L27" i="33"/>
  <c r="K27" i="33"/>
  <c r="H27" i="33"/>
  <c r="G27" i="33"/>
  <c r="F27" i="33"/>
  <c r="E27" i="33"/>
  <c r="D27" i="33"/>
  <c r="C27" i="33"/>
  <c r="B27" i="33"/>
  <c r="A27" i="33"/>
  <c r="L26" i="33"/>
  <c r="K26" i="33"/>
  <c r="H26" i="33"/>
  <c r="G26" i="33"/>
  <c r="F26" i="33"/>
  <c r="E26" i="33"/>
  <c r="D26" i="33"/>
  <c r="C26" i="33"/>
  <c r="B26" i="33"/>
  <c r="A26" i="33"/>
  <c r="L25" i="33"/>
  <c r="K25" i="33"/>
  <c r="H25" i="33"/>
  <c r="G25" i="33"/>
  <c r="F25" i="33"/>
  <c r="E25" i="33"/>
  <c r="D25" i="33"/>
  <c r="C25" i="33"/>
  <c r="B25" i="33"/>
  <c r="A25" i="33"/>
  <c r="L24" i="33"/>
  <c r="K24" i="33"/>
  <c r="H24" i="33"/>
  <c r="G24" i="33"/>
  <c r="F24" i="33"/>
  <c r="E24" i="33"/>
  <c r="D24" i="33"/>
  <c r="C24" i="33"/>
  <c r="B24" i="33"/>
  <c r="A24" i="33"/>
  <c r="L23" i="33"/>
  <c r="K23" i="33"/>
  <c r="H23" i="33"/>
  <c r="G23" i="33"/>
  <c r="F23" i="33"/>
  <c r="E23" i="33"/>
  <c r="D23" i="33"/>
  <c r="C23" i="33"/>
  <c r="B23" i="33"/>
  <c r="A23" i="33"/>
  <c r="L22" i="33"/>
  <c r="K22" i="33"/>
  <c r="H22" i="33"/>
  <c r="G22" i="33"/>
  <c r="F22" i="33"/>
  <c r="E22" i="33"/>
  <c r="D22" i="33"/>
  <c r="C22" i="33"/>
  <c r="B22" i="33"/>
  <c r="A22" i="33"/>
  <c r="L21" i="33"/>
  <c r="K21" i="33"/>
  <c r="H21" i="33"/>
  <c r="G21" i="33"/>
  <c r="F21" i="33"/>
  <c r="E21" i="33"/>
  <c r="D21" i="33"/>
  <c r="C21" i="33"/>
  <c r="B21" i="33"/>
  <c r="A21" i="33"/>
  <c r="L20" i="33"/>
  <c r="K20" i="33"/>
  <c r="H20" i="33"/>
  <c r="G20" i="33"/>
  <c r="F20" i="33"/>
  <c r="E20" i="33"/>
  <c r="D20" i="33"/>
  <c r="C20" i="33"/>
  <c r="B20" i="33"/>
  <c r="A20" i="33"/>
  <c r="L19" i="33"/>
  <c r="K19" i="33"/>
  <c r="H19" i="33"/>
  <c r="G19" i="33"/>
  <c r="F19" i="33"/>
  <c r="E19" i="33"/>
  <c r="D19" i="33"/>
  <c r="C19" i="33"/>
  <c r="B19" i="33"/>
  <c r="A19" i="33"/>
  <c r="L18" i="33"/>
  <c r="K18" i="33"/>
  <c r="H18" i="33"/>
  <c r="G18" i="33"/>
  <c r="F18" i="33"/>
  <c r="E18" i="33"/>
  <c r="D18" i="33"/>
  <c r="C18" i="33"/>
  <c r="B18" i="33"/>
  <c r="A18" i="33"/>
  <c r="L17" i="33"/>
  <c r="K17" i="33"/>
  <c r="H17" i="33"/>
  <c r="G17" i="33"/>
  <c r="F17" i="33"/>
  <c r="E17" i="33"/>
  <c r="D17" i="33"/>
  <c r="C17" i="33"/>
  <c r="B17" i="33"/>
  <c r="A17" i="33"/>
  <c r="L16" i="33"/>
  <c r="K16" i="33"/>
  <c r="H16" i="33"/>
  <c r="G16" i="33"/>
  <c r="F16" i="33"/>
  <c r="E16" i="33"/>
  <c r="D16" i="33"/>
  <c r="C16" i="33"/>
  <c r="B16" i="33"/>
  <c r="A16" i="33"/>
  <c r="L15" i="33"/>
  <c r="K15" i="33"/>
  <c r="H15" i="33"/>
  <c r="G15" i="33"/>
  <c r="F15" i="33"/>
  <c r="E15" i="33"/>
  <c r="D15" i="33"/>
  <c r="C15" i="33"/>
  <c r="B15" i="33"/>
  <c r="A15" i="33"/>
  <c r="L14" i="33"/>
  <c r="K14" i="33"/>
  <c r="H14" i="33"/>
  <c r="G14" i="33"/>
  <c r="F14" i="33"/>
  <c r="E14" i="33"/>
  <c r="D14" i="33"/>
  <c r="C14" i="33"/>
  <c r="B14" i="33"/>
  <c r="A14" i="33"/>
  <c r="L13" i="33"/>
  <c r="K13" i="33"/>
  <c r="H13" i="33"/>
  <c r="G13" i="33"/>
  <c r="F13" i="33"/>
  <c r="E13" i="33"/>
  <c r="D13" i="33"/>
  <c r="C13" i="33"/>
  <c r="B13" i="33"/>
  <c r="A13" i="33"/>
  <c r="L12" i="33"/>
  <c r="K12" i="33"/>
  <c r="H12" i="33"/>
  <c r="G12" i="33"/>
  <c r="F12" i="33"/>
  <c r="E12" i="33"/>
  <c r="D12" i="33"/>
  <c r="C12" i="33"/>
  <c r="B12" i="33"/>
  <c r="A12" i="33"/>
  <c r="L11" i="33"/>
  <c r="K11" i="33"/>
  <c r="H11" i="33"/>
  <c r="G11" i="33"/>
  <c r="F11" i="33"/>
  <c r="E11" i="33"/>
  <c r="D11" i="33"/>
  <c r="C11" i="33"/>
  <c r="B11" i="33"/>
  <c r="A11" i="33"/>
  <c r="L10" i="33"/>
  <c r="K10" i="33"/>
  <c r="H10" i="33"/>
  <c r="G10" i="33"/>
  <c r="F10" i="33"/>
  <c r="E10" i="33"/>
  <c r="D10" i="33"/>
  <c r="C10" i="33"/>
  <c r="B10" i="33"/>
  <c r="A10" i="33"/>
  <c r="L9" i="33"/>
  <c r="K9" i="33"/>
  <c r="H9" i="33"/>
  <c r="G9" i="33"/>
  <c r="F9" i="33"/>
  <c r="E9" i="33"/>
  <c r="D9" i="33"/>
  <c r="C9" i="33"/>
  <c r="B9" i="33"/>
  <c r="A9" i="33"/>
  <c r="L8" i="33"/>
  <c r="K8" i="33"/>
  <c r="H8" i="33"/>
  <c r="G8" i="33"/>
  <c r="F8" i="33"/>
  <c r="E8" i="33"/>
  <c r="D8" i="33"/>
  <c r="C8" i="33"/>
  <c r="B8" i="33"/>
  <c r="A8" i="33"/>
  <c r="K7" i="33"/>
  <c r="H7" i="33"/>
  <c r="G7" i="33"/>
  <c r="F7" i="33"/>
  <c r="E7" i="33"/>
  <c r="D7" i="33"/>
  <c r="C7" i="33"/>
  <c r="B7" i="33"/>
  <c r="A7" i="33"/>
  <c r="J2" i="33"/>
  <c r="D41" i="1" s="1"/>
  <c r="L110" i="32"/>
  <c r="K110" i="32"/>
  <c r="H110" i="32"/>
  <c r="G110" i="32"/>
  <c r="F110" i="32"/>
  <c r="E110" i="32"/>
  <c r="D110" i="32"/>
  <c r="C110" i="32"/>
  <c r="B110" i="32"/>
  <c r="A110" i="32"/>
  <c r="L109" i="32"/>
  <c r="K109" i="32"/>
  <c r="H109" i="32"/>
  <c r="G109" i="32"/>
  <c r="F109" i="32"/>
  <c r="E109" i="32"/>
  <c r="D109" i="32"/>
  <c r="C109" i="32"/>
  <c r="B109" i="32"/>
  <c r="A109" i="32"/>
  <c r="L108" i="32"/>
  <c r="K108" i="32"/>
  <c r="H108" i="32"/>
  <c r="G108" i="32"/>
  <c r="F108" i="32"/>
  <c r="E108" i="32"/>
  <c r="D108" i="32"/>
  <c r="C108" i="32"/>
  <c r="B108" i="32"/>
  <c r="A108" i="32"/>
  <c r="L107" i="32"/>
  <c r="K107" i="32"/>
  <c r="H107" i="32"/>
  <c r="G107" i="32"/>
  <c r="F107" i="32"/>
  <c r="E107" i="32"/>
  <c r="D107" i="32"/>
  <c r="C107" i="32"/>
  <c r="B107" i="32"/>
  <c r="A107" i="32"/>
  <c r="L106" i="32"/>
  <c r="K106" i="32"/>
  <c r="H106" i="32"/>
  <c r="G106" i="32"/>
  <c r="F106" i="32"/>
  <c r="E106" i="32"/>
  <c r="D106" i="32"/>
  <c r="C106" i="32"/>
  <c r="B106" i="32"/>
  <c r="A106" i="32"/>
  <c r="L105" i="32"/>
  <c r="K105" i="32"/>
  <c r="H105" i="32"/>
  <c r="G105" i="32"/>
  <c r="F105" i="32"/>
  <c r="E105" i="32"/>
  <c r="D105" i="32"/>
  <c r="C105" i="32"/>
  <c r="B105" i="32"/>
  <c r="A105" i="32"/>
  <c r="L104" i="32"/>
  <c r="K104" i="32"/>
  <c r="H104" i="32"/>
  <c r="G104" i="32"/>
  <c r="F104" i="32"/>
  <c r="E104" i="32"/>
  <c r="D104" i="32"/>
  <c r="C104" i="32"/>
  <c r="B104" i="32"/>
  <c r="A104" i="32"/>
  <c r="L103" i="32"/>
  <c r="K103" i="32"/>
  <c r="H103" i="32"/>
  <c r="G103" i="32"/>
  <c r="F103" i="32"/>
  <c r="E103" i="32"/>
  <c r="D103" i="32"/>
  <c r="C103" i="32"/>
  <c r="B103" i="32"/>
  <c r="A103" i="32"/>
  <c r="L102" i="32"/>
  <c r="K102" i="32"/>
  <c r="H102" i="32"/>
  <c r="G102" i="32"/>
  <c r="F102" i="32"/>
  <c r="E102" i="32"/>
  <c r="D102" i="32"/>
  <c r="C102" i="32"/>
  <c r="B102" i="32"/>
  <c r="A102" i="32"/>
  <c r="L101" i="32"/>
  <c r="K101" i="32"/>
  <c r="H101" i="32"/>
  <c r="G101" i="32"/>
  <c r="F101" i="32"/>
  <c r="E101" i="32"/>
  <c r="D101" i="32"/>
  <c r="C101" i="32"/>
  <c r="B101" i="32"/>
  <c r="A101" i="32"/>
  <c r="L100" i="32"/>
  <c r="K100" i="32"/>
  <c r="H100" i="32"/>
  <c r="G100" i="32"/>
  <c r="F100" i="32"/>
  <c r="E100" i="32"/>
  <c r="D100" i="32"/>
  <c r="C100" i="32"/>
  <c r="B100" i="32"/>
  <c r="A100" i="32"/>
  <c r="L99" i="32"/>
  <c r="K99" i="32"/>
  <c r="H99" i="32"/>
  <c r="G99" i="32"/>
  <c r="F99" i="32"/>
  <c r="E99" i="32"/>
  <c r="D99" i="32"/>
  <c r="C99" i="32"/>
  <c r="B99" i="32"/>
  <c r="A99" i="32"/>
  <c r="L98" i="32"/>
  <c r="K98" i="32"/>
  <c r="H98" i="32"/>
  <c r="G98" i="32"/>
  <c r="F98" i="32"/>
  <c r="E98" i="32"/>
  <c r="D98" i="32"/>
  <c r="C98" i="32"/>
  <c r="B98" i="32"/>
  <c r="A98" i="32"/>
  <c r="L97" i="32"/>
  <c r="K97" i="32"/>
  <c r="H97" i="32"/>
  <c r="G97" i="32"/>
  <c r="F97" i="32"/>
  <c r="E97" i="32"/>
  <c r="D97" i="32"/>
  <c r="C97" i="32"/>
  <c r="B97" i="32"/>
  <c r="A97" i="32"/>
  <c r="L96" i="32"/>
  <c r="K96" i="32"/>
  <c r="H96" i="32"/>
  <c r="G96" i="32"/>
  <c r="F96" i="32"/>
  <c r="E96" i="32"/>
  <c r="D96" i="32"/>
  <c r="C96" i="32"/>
  <c r="B96" i="32"/>
  <c r="A96" i="32"/>
  <c r="L95" i="32"/>
  <c r="K95" i="32"/>
  <c r="H95" i="32"/>
  <c r="G95" i="32"/>
  <c r="F95" i="32"/>
  <c r="E95" i="32"/>
  <c r="D95" i="32"/>
  <c r="C95" i="32"/>
  <c r="B95" i="32"/>
  <c r="A95" i="32"/>
  <c r="L94" i="32"/>
  <c r="K94" i="32"/>
  <c r="H94" i="32"/>
  <c r="G94" i="32"/>
  <c r="F94" i="32"/>
  <c r="E94" i="32"/>
  <c r="D94" i="32"/>
  <c r="C94" i="32"/>
  <c r="B94" i="32"/>
  <c r="A94" i="32"/>
  <c r="L93" i="32"/>
  <c r="K93" i="32"/>
  <c r="H93" i="32"/>
  <c r="G93" i="32"/>
  <c r="F93" i="32"/>
  <c r="E93" i="32"/>
  <c r="D93" i="32"/>
  <c r="C93" i="32"/>
  <c r="B93" i="32"/>
  <c r="A93" i="32"/>
  <c r="L92" i="32"/>
  <c r="K92" i="32"/>
  <c r="H92" i="32"/>
  <c r="G92" i="32"/>
  <c r="F92" i="32"/>
  <c r="E92" i="32"/>
  <c r="D92" i="32"/>
  <c r="C92" i="32"/>
  <c r="B92" i="32"/>
  <c r="A92" i="32"/>
  <c r="L91" i="32"/>
  <c r="K91" i="32"/>
  <c r="H91" i="32"/>
  <c r="G91" i="32"/>
  <c r="F91" i="32"/>
  <c r="E91" i="32"/>
  <c r="D91" i="32"/>
  <c r="C91" i="32"/>
  <c r="B91" i="32"/>
  <c r="A91" i="32"/>
  <c r="L90" i="32"/>
  <c r="K90" i="32"/>
  <c r="H90" i="32"/>
  <c r="G90" i="32"/>
  <c r="F90" i="32"/>
  <c r="E90" i="32"/>
  <c r="D90" i="32"/>
  <c r="C90" i="32"/>
  <c r="B90" i="32"/>
  <c r="A90" i="32"/>
  <c r="L89" i="32"/>
  <c r="K89" i="32"/>
  <c r="H89" i="32"/>
  <c r="G89" i="32"/>
  <c r="F89" i="32"/>
  <c r="E89" i="32"/>
  <c r="D89" i="32"/>
  <c r="C89" i="32"/>
  <c r="B89" i="32"/>
  <c r="A89" i="32"/>
  <c r="L88" i="32"/>
  <c r="K88" i="32"/>
  <c r="H88" i="32"/>
  <c r="G88" i="32"/>
  <c r="F88" i="32"/>
  <c r="E88" i="32"/>
  <c r="D88" i="32"/>
  <c r="C88" i="32"/>
  <c r="B88" i="32"/>
  <c r="A88" i="32"/>
  <c r="L87" i="32"/>
  <c r="K87" i="32"/>
  <c r="H87" i="32"/>
  <c r="G87" i="32"/>
  <c r="F87" i="32"/>
  <c r="E87" i="32"/>
  <c r="D87" i="32"/>
  <c r="C87" i="32"/>
  <c r="B87" i="32"/>
  <c r="A87" i="32"/>
  <c r="L86" i="32"/>
  <c r="K86" i="32"/>
  <c r="H86" i="32"/>
  <c r="G86" i="32"/>
  <c r="F86" i="32"/>
  <c r="E86" i="32"/>
  <c r="D86" i="32"/>
  <c r="C86" i="32"/>
  <c r="B86" i="32"/>
  <c r="A86" i="32"/>
  <c r="L85" i="32"/>
  <c r="K85" i="32"/>
  <c r="H85" i="32"/>
  <c r="G85" i="32"/>
  <c r="F85" i="32"/>
  <c r="E85" i="32"/>
  <c r="D85" i="32"/>
  <c r="C85" i="32"/>
  <c r="B85" i="32"/>
  <c r="A85" i="32"/>
  <c r="L84" i="32"/>
  <c r="K84" i="32"/>
  <c r="H84" i="32"/>
  <c r="G84" i="32"/>
  <c r="F84" i="32"/>
  <c r="E84" i="32"/>
  <c r="D84" i="32"/>
  <c r="C84" i="32"/>
  <c r="B84" i="32"/>
  <c r="A84" i="32"/>
  <c r="L83" i="32"/>
  <c r="K83" i="32"/>
  <c r="H83" i="32"/>
  <c r="G83" i="32"/>
  <c r="F83" i="32"/>
  <c r="E83" i="32"/>
  <c r="D83" i="32"/>
  <c r="C83" i="32"/>
  <c r="B83" i="32"/>
  <c r="A83" i="32"/>
  <c r="L82" i="32"/>
  <c r="K82" i="32"/>
  <c r="H82" i="32"/>
  <c r="G82" i="32"/>
  <c r="F82" i="32"/>
  <c r="E82" i="32"/>
  <c r="D82" i="32"/>
  <c r="C82" i="32"/>
  <c r="B82" i="32"/>
  <c r="A82" i="32"/>
  <c r="L81" i="32"/>
  <c r="K81" i="32"/>
  <c r="H81" i="32"/>
  <c r="G81" i="32"/>
  <c r="F81" i="32"/>
  <c r="E81" i="32"/>
  <c r="D81" i="32"/>
  <c r="C81" i="32"/>
  <c r="B81" i="32"/>
  <c r="A81" i="32"/>
  <c r="L80" i="32"/>
  <c r="K80" i="32"/>
  <c r="H80" i="32"/>
  <c r="G80" i="32"/>
  <c r="F80" i="32"/>
  <c r="E80" i="32"/>
  <c r="D80" i="32"/>
  <c r="C80" i="32"/>
  <c r="B80" i="32"/>
  <c r="A80" i="32"/>
  <c r="L79" i="32"/>
  <c r="K79" i="32"/>
  <c r="H79" i="32"/>
  <c r="G79" i="32"/>
  <c r="F79" i="32"/>
  <c r="E79" i="32"/>
  <c r="D79" i="32"/>
  <c r="C79" i="32"/>
  <c r="B79" i="32"/>
  <c r="A79" i="32"/>
  <c r="L78" i="32"/>
  <c r="K78" i="32"/>
  <c r="H78" i="32"/>
  <c r="G78" i="32"/>
  <c r="F78" i="32"/>
  <c r="E78" i="32"/>
  <c r="D78" i="32"/>
  <c r="C78" i="32"/>
  <c r="B78" i="32"/>
  <c r="A78" i="32"/>
  <c r="L77" i="32"/>
  <c r="K77" i="32"/>
  <c r="H77" i="32"/>
  <c r="G77" i="32"/>
  <c r="F77" i="32"/>
  <c r="E77" i="32"/>
  <c r="D77" i="32"/>
  <c r="C77" i="32"/>
  <c r="B77" i="32"/>
  <c r="A77" i="32"/>
  <c r="L76" i="32"/>
  <c r="K76" i="32"/>
  <c r="H76" i="32"/>
  <c r="G76" i="32"/>
  <c r="F76" i="32"/>
  <c r="E76" i="32"/>
  <c r="D76" i="32"/>
  <c r="C76" i="32"/>
  <c r="B76" i="32"/>
  <c r="A76" i="32"/>
  <c r="L75" i="32"/>
  <c r="K75" i="32"/>
  <c r="H75" i="32"/>
  <c r="G75" i="32"/>
  <c r="F75" i="32"/>
  <c r="E75" i="32"/>
  <c r="D75" i="32"/>
  <c r="C75" i="32"/>
  <c r="B75" i="32"/>
  <c r="A75" i="32"/>
  <c r="L74" i="32"/>
  <c r="K74" i="32"/>
  <c r="H74" i="32"/>
  <c r="G74" i="32"/>
  <c r="F74" i="32"/>
  <c r="E74" i="32"/>
  <c r="D74" i="32"/>
  <c r="C74" i="32"/>
  <c r="B74" i="32"/>
  <c r="A74" i="32"/>
  <c r="L73" i="32"/>
  <c r="K73" i="32"/>
  <c r="H73" i="32"/>
  <c r="G73" i="32"/>
  <c r="F73" i="32"/>
  <c r="E73" i="32"/>
  <c r="D73" i="32"/>
  <c r="C73" i="32"/>
  <c r="B73" i="32"/>
  <c r="A73" i="32"/>
  <c r="L72" i="32"/>
  <c r="K72" i="32"/>
  <c r="H72" i="32"/>
  <c r="G72" i="32"/>
  <c r="F72" i="32"/>
  <c r="E72" i="32"/>
  <c r="D72" i="32"/>
  <c r="C72" i="32"/>
  <c r="B72" i="32"/>
  <c r="A72" i="32"/>
  <c r="L71" i="32"/>
  <c r="K71" i="32"/>
  <c r="H71" i="32"/>
  <c r="G71" i="32"/>
  <c r="F71" i="32"/>
  <c r="E71" i="32"/>
  <c r="D71" i="32"/>
  <c r="C71" i="32"/>
  <c r="B71" i="32"/>
  <c r="A71" i="32"/>
  <c r="L70" i="32"/>
  <c r="K70" i="32"/>
  <c r="H70" i="32"/>
  <c r="G70" i="32"/>
  <c r="F70" i="32"/>
  <c r="E70" i="32"/>
  <c r="D70" i="32"/>
  <c r="C70" i="32"/>
  <c r="B70" i="32"/>
  <c r="A70" i="32"/>
  <c r="L69" i="32"/>
  <c r="K69" i="32"/>
  <c r="H69" i="32"/>
  <c r="G69" i="32"/>
  <c r="F69" i="32"/>
  <c r="E69" i="32"/>
  <c r="D69" i="32"/>
  <c r="C69" i="32"/>
  <c r="B69" i="32"/>
  <c r="A69" i="32"/>
  <c r="L68" i="32"/>
  <c r="K68" i="32"/>
  <c r="H68" i="32"/>
  <c r="G68" i="32"/>
  <c r="F68" i="32"/>
  <c r="E68" i="32"/>
  <c r="D68" i="32"/>
  <c r="C68" i="32"/>
  <c r="B68" i="32"/>
  <c r="A68" i="32"/>
  <c r="L67" i="32"/>
  <c r="K67" i="32"/>
  <c r="H67" i="32"/>
  <c r="G67" i="32"/>
  <c r="F67" i="32"/>
  <c r="E67" i="32"/>
  <c r="D67" i="32"/>
  <c r="C67" i="32"/>
  <c r="B67" i="32"/>
  <c r="A67" i="32"/>
  <c r="L66" i="32"/>
  <c r="K66" i="32"/>
  <c r="H66" i="32"/>
  <c r="G66" i="32"/>
  <c r="F66" i="32"/>
  <c r="E66" i="32"/>
  <c r="D66" i="32"/>
  <c r="C66" i="32"/>
  <c r="B66" i="32"/>
  <c r="A66" i="32"/>
  <c r="L65" i="32"/>
  <c r="K65" i="32"/>
  <c r="H65" i="32"/>
  <c r="G65" i="32"/>
  <c r="F65" i="32"/>
  <c r="E65" i="32"/>
  <c r="D65" i="32"/>
  <c r="C65" i="32"/>
  <c r="B65" i="32"/>
  <c r="A65" i="32"/>
  <c r="L64" i="32"/>
  <c r="K64" i="32"/>
  <c r="H64" i="32"/>
  <c r="G64" i="32"/>
  <c r="F64" i="32"/>
  <c r="E64" i="32"/>
  <c r="D64" i="32"/>
  <c r="C64" i="32"/>
  <c r="B64" i="32"/>
  <c r="A64" i="32"/>
  <c r="L63" i="32"/>
  <c r="K63" i="32"/>
  <c r="H63" i="32"/>
  <c r="G63" i="32"/>
  <c r="F63" i="32"/>
  <c r="E63" i="32"/>
  <c r="D63" i="32"/>
  <c r="C63" i="32"/>
  <c r="B63" i="32"/>
  <c r="A63" i="32"/>
  <c r="L62" i="32"/>
  <c r="K62" i="32"/>
  <c r="H62" i="32"/>
  <c r="G62" i="32"/>
  <c r="F62" i="32"/>
  <c r="E62" i="32"/>
  <c r="D62" i="32"/>
  <c r="C62" i="32"/>
  <c r="B62" i="32"/>
  <c r="A62" i="32"/>
  <c r="L61" i="32"/>
  <c r="K61" i="32"/>
  <c r="H61" i="32"/>
  <c r="G61" i="32"/>
  <c r="F61" i="32"/>
  <c r="E61" i="32"/>
  <c r="D61" i="32"/>
  <c r="C61" i="32"/>
  <c r="B61" i="32"/>
  <c r="A61" i="32"/>
  <c r="L60" i="32"/>
  <c r="K60" i="32"/>
  <c r="H60" i="32"/>
  <c r="G60" i="32"/>
  <c r="F60" i="32"/>
  <c r="E60" i="32"/>
  <c r="D60" i="32"/>
  <c r="C60" i="32"/>
  <c r="B60" i="32"/>
  <c r="A60" i="32"/>
  <c r="L59" i="32"/>
  <c r="K59" i="32"/>
  <c r="H59" i="32"/>
  <c r="G59" i="32"/>
  <c r="F59" i="32"/>
  <c r="E59" i="32"/>
  <c r="D59" i="32"/>
  <c r="C59" i="32"/>
  <c r="B59" i="32"/>
  <c r="A59" i="32"/>
  <c r="L58" i="32"/>
  <c r="K58" i="32"/>
  <c r="H58" i="32"/>
  <c r="G58" i="32"/>
  <c r="F58" i="32"/>
  <c r="E58" i="32"/>
  <c r="D58" i="32"/>
  <c r="C58" i="32"/>
  <c r="B58" i="32"/>
  <c r="A58" i="32"/>
  <c r="L57" i="32"/>
  <c r="K57" i="32"/>
  <c r="H57" i="32"/>
  <c r="G57" i="32"/>
  <c r="F57" i="32"/>
  <c r="E57" i="32"/>
  <c r="D57" i="32"/>
  <c r="C57" i="32"/>
  <c r="B57" i="32"/>
  <c r="A57" i="32"/>
  <c r="L56" i="32"/>
  <c r="K56" i="32"/>
  <c r="H56" i="32"/>
  <c r="G56" i="32"/>
  <c r="F56" i="32"/>
  <c r="E56" i="32"/>
  <c r="D56" i="32"/>
  <c r="C56" i="32"/>
  <c r="B56" i="32"/>
  <c r="A56" i="32"/>
  <c r="L55" i="32"/>
  <c r="K55" i="32"/>
  <c r="H55" i="32"/>
  <c r="G55" i="32"/>
  <c r="F55" i="32"/>
  <c r="E55" i="32"/>
  <c r="D55" i="32"/>
  <c r="C55" i="32"/>
  <c r="B55" i="32"/>
  <c r="A55" i="32"/>
  <c r="L54" i="32"/>
  <c r="K54" i="32"/>
  <c r="H54" i="32"/>
  <c r="G54" i="32"/>
  <c r="F54" i="32"/>
  <c r="E54" i="32"/>
  <c r="D54" i="32"/>
  <c r="C54" i="32"/>
  <c r="B54" i="32"/>
  <c r="A54" i="32"/>
  <c r="L53" i="32"/>
  <c r="K53" i="32"/>
  <c r="H53" i="32"/>
  <c r="G53" i="32"/>
  <c r="F53" i="32"/>
  <c r="E53" i="32"/>
  <c r="D53" i="32"/>
  <c r="C53" i="32"/>
  <c r="B53" i="32"/>
  <c r="A53" i="32"/>
  <c r="L52" i="32"/>
  <c r="K52" i="32"/>
  <c r="H52" i="32"/>
  <c r="G52" i="32"/>
  <c r="F52" i="32"/>
  <c r="E52" i="32"/>
  <c r="D52" i="32"/>
  <c r="C52" i="32"/>
  <c r="B52" i="32"/>
  <c r="A52" i="32"/>
  <c r="L51" i="32"/>
  <c r="K51" i="32"/>
  <c r="H51" i="32"/>
  <c r="G51" i="32"/>
  <c r="F51" i="32"/>
  <c r="E51" i="32"/>
  <c r="D51" i="32"/>
  <c r="C51" i="32"/>
  <c r="B51" i="32"/>
  <c r="A51" i="32"/>
  <c r="L50" i="32"/>
  <c r="K50" i="32"/>
  <c r="H50" i="32"/>
  <c r="G50" i="32"/>
  <c r="F50" i="32"/>
  <c r="E50" i="32"/>
  <c r="D50" i="32"/>
  <c r="C50" i="32"/>
  <c r="B50" i="32"/>
  <c r="A50" i="32"/>
  <c r="L49" i="32"/>
  <c r="K49" i="32"/>
  <c r="H49" i="32"/>
  <c r="G49" i="32"/>
  <c r="F49" i="32"/>
  <c r="E49" i="32"/>
  <c r="D49" i="32"/>
  <c r="C49" i="32"/>
  <c r="B49" i="32"/>
  <c r="A49" i="32"/>
  <c r="L48" i="32"/>
  <c r="K48" i="32"/>
  <c r="H48" i="32"/>
  <c r="G48" i="32"/>
  <c r="F48" i="32"/>
  <c r="E48" i="32"/>
  <c r="D48" i="32"/>
  <c r="C48" i="32"/>
  <c r="B48" i="32"/>
  <c r="A48" i="32"/>
  <c r="L47" i="32"/>
  <c r="K47" i="32"/>
  <c r="H47" i="32"/>
  <c r="G47" i="32"/>
  <c r="F47" i="32"/>
  <c r="E47" i="32"/>
  <c r="D47" i="32"/>
  <c r="C47" i="32"/>
  <c r="B47" i="32"/>
  <c r="A47" i="32"/>
  <c r="L46" i="32"/>
  <c r="K46" i="32"/>
  <c r="H46" i="32"/>
  <c r="G46" i="32"/>
  <c r="F46" i="32"/>
  <c r="E46" i="32"/>
  <c r="D46" i="32"/>
  <c r="C46" i="32"/>
  <c r="B46" i="32"/>
  <c r="A46" i="32"/>
  <c r="L45" i="32"/>
  <c r="K45" i="32"/>
  <c r="H45" i="32"/>
  <c r="G45" i="32"/>
  <c r="F45" i="32"/>
  <c r="E45" i="32"/>
  <c r="D45" i="32"/>
  <c r="C45" i="32"/>
  <c r="B45" i="32"/>
  <c r="A45" i="32"/>
  <c r="L44" i="32"/>
  <c r="K44" i="32"/>
  <c r="H44" i="32"/>
  <c r="G44" i="32"/>
  <c r="F44" i="32"/>
  <c r="E44" i="32"/>
  <c r="D44" i="32"/>
  <c r="C44" i="32"/>
  <c r="B44" i="32"/>
  <c r="A44" i="32"/>
  <c r="L43" i="32"/>
  <c r="K43" i="32"/>
  <c r="H43" i="32"/>
  <c r="G43" i="32"/>
  <c r="F43" i="32"/>
  <c r="E43" i="32"/>
  <c r="D43" i="32"/>
  <c r="C43" i="32"/>
  <c r="B43" i="32"/>
  <c r="A43" i="32"/>
  <c r="L42" i="32"/>
  <c r="K42" i="32"/>
  <c r="H42" i="32"/>
  <c r="G42" i="32"/>
  <c r="F42" i="32"/>
  <c r="E42" i="32"/>
  <c r="D42" i="32"/>
  <c r="C42" i="32"/>
  <c r="B42" i="32"/>
  <c r="A42" i="32"/>
  <c r="L41" i="32"/>
  <c r="K41" i="32"/>
  <c r="H41" i="32"/>
  <c r="G41" i="32"/>
  <c r="F41" i="32"/>
  <c r="E41" i="32"/>
  <c r="D41" i="32"/>
  <c r="C41" i="32"/>
  <c r="B41" i="32"/>
  <c r="A41" i="32"/>
  <c r="L40" i="32"/>
  <c r="K40" i="32"/>
  <c r="H40" i="32"/>
  <c r="G40" i="32"/>
  <c r="F40" i="32"/>
  <c r="E40" i="32"/>
  <c r="D40" i="32"/>
  <c r="C40" i="32"/>
  <c r="B40" i="32"/>
  <c r="A40" i="32"/>
  <c r="L39" i="32"/>
  <c r="K39" i="32"/>
  <c r="H39" i="32"/>
  <c r="G39" i="32"/>
  <c r="F39" i="32"/>
  <c r="E39" i="32"/>
  <c r="D39" i="32"/>
  <c r="C39" i="32"/>
  <c r="B39" i="32"/>
  <c r="A39" i="32"/>
  <c r="L38" i="32"/>
  <c r="K38" i="32"/>
  <c r="H38" i="32"/>
  <c r="G38" i="32"/>
  <c r="F38" i="32"/>
  <c r="E38" i="32"/>
  <c r="D38" i="32"/>
  <c r="C38" i="32"/>
  <c r="B38" i="32"/>
  <c r="A38" i="32"/>
  <c r="L37" i="32"/>
  <c r="K37" i="32"/>
  <c r="H37" i="32"/>
  <c r="G37" i="32"/>
  <c r="F37" i="32"/>
  <c r="E37" i="32"/>
  <c r="D37" i="32"/>
  <c r="C37" i="32"/>
  <c r="B37" i="32"/>
  <c r="A37" i="32"/>
  <c r="L36" i="32"/>
  <c r="K36" i="32"/>
  <c r="H36" i="32"/>
  <c r="G36" i="32"/>
  <c r="F36" i="32"/>
  <c r="E36" i="32"/>
  <c r="D36" i="32"/>
  <c r="C36" i="32"/>
  <c r="B36" i="32"/>
  <c r="A36" i="32"/>
  <c r="L35" i="32"/>
  <c r="K35" i="32"/>
  <c r="H35" i="32"/>
  <c r="G35" i="32"/>
  <c r="F35" i="32"/>
  <c r="E35" i="32"/>
  <c r="D35" i="32"/>
  <c r="C35" i="32"/>
  <c r="B35" i="32"/>
  <c r="A35" i="32"/>
  <c r="L34" i="32"/>
  <c r="K34" i="32"/>
  <c r="H34" i="32"/>
  <c r="G34" i="32"/>
  <c r="F34" i="32"/>
  <c r="E34" i="32"/>
  <c r="D34" i="32"/>
  <c r="C34" i="32"/>
  <c r="B34" i="32"/>
  <c r="A34" i="32"/>
  <c r="L33" i="32"/>
  <c r="K33" i="32"/>
  <c r="H33" i="32"/>
  <c r="G33" i="32"/>
  <c r="F33" i="32"/>
  <c r="E33" i="32"/>
  <c r="D33" i="32"/>
  <c r="C33" i="32"/>
  <c r="B33" i="32"/>
  <c r="A33" i="32"/>
  <c r="L32" i="32"/>
  <c r="K32" i="32"/>
  <c r="H32" i="32"/>
  <c r="G32" i="32"/>
  <c r="F32" i="32"/>
  <c r="E32" i="32"/>
  <c r="D32" i="32"/>
  <c r="C32" i="32"/>
  <c r="B32" i="32"/>
  <c r="A32" i="32"/>
  <c r="L31" i="32"/>
  <c r="K31" i="32"/>
  <c r="H31" i="32"/>
  <c r="G31" i="32"/>
  <c r="F31" i="32"/>
  <c r="E31" i="32"/>
  <c r="D31" i="32"/>
  <c r="C31" i="32"/>
  <c r="B31" i="32"/>
  <c r="A31" i="32"/>
  <c r="L30" i="32"/>
  <c r="K30" i="32"/>
  <c r="H30" i="32"/>
  <c r="G30" i="32"/>
  <c r="F30" i="32"/>
  <c r="E30" i="32"/>
  <c r="D30" i="32"/>
  <c r="C30" i="32"/>
  <c r="B30" i="32"/>
  <c r="A30" i="32"/>
  <c r="L29" i="32"/>
  <c r="K29" i="32"/>
  <c r="H29" i="32"/>
  <c r="G29" i="32"/>
  <c r="F29" i="32"/>
  <c r="E29" i="32"/>
  <c r="D29" i="32"/>
  <c r="C29" i="32"/>
  <c r="B29" i="32"/>
  <c r="A29" i="32"/>
  <c r="L28" i="32"/>
  <c r="K28" i="32"/>
  <c r="H28" i="32"/>
  <c r="G28" i="32"/>
  <c r="F28" i="32"/>
  <c r="E28" i="32"/>
  <c r="D28" i="32"/>
  <c r="C28" i="32"/>
  <c r="B28" i="32"/>
  <c r="A28" i="32"/>
  <c r="L27" i="32"/>
  <c r="K27" i="32"/>
  <c r="H27" i="32"/>
  <c r="G27" i="32"/>
  <c r="F27" i="32"/>
  <c r="E27" i="32"/>
  <c r="D27" i="32"/>
  <c r="C27" i="32"/>
  <c r="B27" i="32"/>
  <c r="A27" i="32"/>
  <c r="L26" i="32"/>
  <c r="K26" i="32"/>
  <c r="H26" i="32"/>
  <c r="G26" i="32"/>
  <c r="F26" i="32"/>
  <c r="E26" i="32"/>
  <c r="D26" i="32"/>
  <c r="C26" i="32"/>
  <c r="B26" i="32"/>
  <c r="A26" i="32"/>
  <c r="L25" i="32"/>
  <c r="K25" i="32"/>
  <c r="H25" i="32"/>
  <c r="G25" i="32"/>
  <c r="F25" i="32"/>
  <c r="E25" i="32"/>
  <c r="D25" i="32"/>
  <c r="C25" i="32"/>
  <c r="B25" i="32"/>
  <c r="A25" i="32"/>
  <c r="L24" i="32"/>
  <c r="K24" i="32"/>
  <c r="H24" i="32"/>
  <c r="G24" i="32"/>
  <c r="F24" i="32"/>
  <c r="E24" i="32"/>
  <c r="D24" i="32"/>
  <c r="C24" i="32"/>
  <c r="B24" i="32"/>
  <c r="A24" i="32"/>
  <c r="L23" i="32"/>
  <c r="K23" i="32"/>
  <c r="H23" i="32"/>
  <c r="G23" i="32"/>
  <c r="F23" i="32"/>
  <c r="E23" i="32"/>
  <c r="D23" i="32"/>
  <c r="C23" i="32"/>
  <c r="B23" i="32"/>
  <c r="A23" i="32"/>
  <c r="L22" i="32"/>
  <c r="K22" i="32"/>
  <c r="H22" i="32"/>
  <c r="G22" i="32"/>
  <c r="F22" i="32"/>
  <c r="E22" i="32"/>
  <c r="D22" i="32"/>
  <c r="C22" i="32"/>
  <c r="B22" i="32"/>
  <c r="A22" i="32"/>
  <c r="L21" i="32"/>
  <c r="K21" i="32"/>
  <c r="H21" i="32"/>
  <c r="G21" i="32"/>
  <c r="F21" i="32"/>
  <c r="E21" i="32"/>
  <c r="D21" i="32"/>
  <c r="C21" i="32"/>
  <c r="B21" i="32"/>
  <c r="A21" i="32"/>
  <c r="L20" i="32"/>
  <c r="K20" i="32"/>
  <c r="H20" i="32"/>
  <c r="G20" i="32"/>
  <c r="F20" i="32"/>
  <c r="E20" i="32"/>
  <c r="D20" i="32"/>
  <c r="C20" i="32"/>
  <c r="B20" i="32"/>
  <c r="A20" i="32"/>
  <c r="L19" i="32"/>
  <c r="K19" i="32"/>
  <c r="H19" i="32"/>
  <c r="G19" i="32"/>
  <c r="F19" i="32"/>
  <c r="E19" i="32"/>
  <c r="D19" i="32"/>
  <c r="C19" i="32"/>
  <c r="B19" i="32"/>
  <c r="A19" i="32"/>
  <c r="L18" i="32"/>
  <c r="K18" i="32"/>
  <c r="H18" i="32"/>
  <c r="G18" i="32"/>
  <c r="F18" i="32"/>
  <c r="E18" i="32"/>
  <c r="D18" i="32"/>
  <c r="C18" i="32"/>
  <c r="B18" i="32"/>
  <c r="A18" i="32"/>
  <c r="L17" i="32"/>
  <c r="K17" i="32"/>
  <c r="H17" i="32"/>
  <c r="G17" i="32"/>
  <c r="F17" i="32"/>
  <c r="E17" i="32"/>
  <c r="D17" i="32"/>
  <c r="C17" i="32"/>
  <c r="B17" i="32"/>
  <c r="A17" i="32"/>
  <c r="L16" i="32"/>
  <c r="K16" i="32"/>
  <c r="H16" i="32"/>
  <c r="G16" i="32"/>
  <c r="F16" i="32"/>
  <c r="E16" i="32"/>
  <c r="D16" i="32"/>
  <c r="C16" i="32"/>
  <c r="B16" i="32"/>
  <c r="A16" i="32"/>
  <c r="L15" i="32"/>
  <c r="K15" i="32"/>
  <c r="H15" i="32"/>
  <c r="G15" i="32"/>
  <c r="F15" i="32"/>
  <c r="E15" i="32"/>
  <c r="D15" i="32"/>
  <c r="C15" i="32"/>
  <c r="B15" i="32"/>
  <c r="A15" i="32"/>
  <c r="L14" i="32"/>
  <c r="K14" i="32"/>
  <c r="H14" i="32"/>
  <c r="G14" i="32"/>
  <c r="F14" i="32"/>
  <c r="E14" i="32"/>
  <c r="D14" i="32"/>
  <c r="C14" i="32"/>
  <c r="B14" i="32"/>
  <c r="A14" i="32"/>
  <c r="L13" i="32"/>
  <c r="K13" i="32"/>
  <c r="H13" i="32"/>
  <c r="G13" i="32"/>
  <c r="F13" i="32"/>
  <c r="E13" i="32"/>
  <c r="D13" i="32"/>
  <c r="C13" i="32"/>
  <c r="B13" i="32"/>
  <c r="A13" i="32"/>
  <c r="L12" i="32"/>
  <c r="K12" i="32"/>
  <c r="H12" i="32"/>
  <c r="G12" i="32"/>
  <c r="F12" i="32"/>
  <c r="E12" i="32"/>
  <c r="D12" i="32"/>
  <c r="C12" i="32"/>
  <c r="B12" i="32"/>
  <c r="A12" i="32"/>
  <c r="L11" i="32"/>
  <c r="K11" i="32"/>
  <c r="H11" i="32"/>
  <c r="G11" i="32"/>
  <c r="F11" i="32"/>
  <c r="E11" i="32"/>
  <c r="D11" i="32"/>
  <c r="C11" i="32"/>
  <c r="B11" i="32"/>
  <c r="A11" i="32"/>
  <c r="L10" i="32"/>
  <c r="K10" i="32"/>
  <c r="H10" i="32"/>
  <c r="G10" i="32"/>
  <c r="F10" i="32"/>
  <c r="E10" i="32"/>
  <c r="D10" i="32"/>
  <c r="C10" i="32"/>
  <c r="B10" i="32"/>
  <c r="A10" i="32"/>
  <c r="L9" i="32"/>
  <c r="K9" i="32"/>
  <c r="H9" i="32"/>
  <c r="G9" i="32"/>
  <c r="F9" i="32"/>
  <c r="E9" i="32"/>
  <c r="D9" i="32"/>
  <c r="C9" i="32"/>
  <c r="B9" i="32"/>
  <c r="A9" i="32"/>
  <c r="L8" i="32"/>
  <c r="K8" i="32"/>
  <c r="H8" i="32"/>
  <c r="G8" i="32"/>
  <c r="F8" i="32"/>
  <c r="E8" i="32"/>
  <c r="D8" i="32"/>
  <c r="C8" i="32"/>
  <c r="B8" i="32"/>
  <c r="A8" i="32"/>
  <c r="K7" i="32"/>
  <c r="H7" i="32"/>
  <c r="G7" i="32"/>
  <c r="F7" i="32"/>
  <c r="E7" i="32"/>
  <c r="D7" i="32"/>
  <c r="C7" i="32"/>
  <c r="B7" i="32"/>
  <c r="A7" i="32"/>
  <c r="J2" i="32"/>
  <c r="D40" i="1" s="1"/>
  <c r="L110" i="31"/>
  <c r="K110" i="31"/>
  <c r="H110" i="31"/>
  <c r="G110" i="31"/>
  <c r="F110" i="31"/>
  <c r="E110" i="31"/>
  <c r="D110" i="31"/>
  <c r="C110" i="31"/>
  <c r="B110" i="31"/>
  <c r="A110" i="31"/>
  <c r="L109" i="31"/>
  <c r="K109" i="31"/>
  <c r="H109" i="31"/>
  <c r="G109" i="31"/>
  <c r="F109" i="31"/>
  <c r="E109" i="31"/>
  <c r="D109" i="31"/>
  <c r="C109" i="31"/>
  <c r="B109" i="31"/>
  <c r="A109" i="31"/>
  <c r="L108" i="31"/>
  <c r="K108" i="31"/>
  <c r="H108" i="31"/>
  <c r="G108" i="31"/>
  <c r="F108" i="31"/>
  <c r="E108" i="31"/>
  <c r="D108" i="31"/>
  <c r="C108" i="31"/>
  <c r="B108" i="31"/>
  <c r="A108" i="31"/>
  <c r="L107" i="31"/>
  <c r="K107" i="31"/>
  <c r="H107" i="31"/>
  <c r="G107" i="31"/>
  <c r="F107" i="31"/>
  <c r="E107" i="31"/>
  <c r="D107" i="31"/>
  <c r="C107" i="31"/>
  <c r="B107" i="31"/>
  <c r="A107" i="31"/>
  <c r="L106" i="31"/>
  <c r="K106" i="31"/>
  <c r="H106" i="31"/>
  <c r="G106" i="31"/>
  <c r="F106" i="31"/>
  <c r="E106" i="31"/>
  <c r="D106" i="31"/>
  <c r="C106" i="31"/>
  <c r="B106" i="31"/>
  <c r="A106" i="31"/>
  <c r="L105" i="31"/>
  <c r="K105" i="31"/>
  <c r="H105" i="31"/>
  <c r="G105" i="31"/>
  <c r="F105" i="31"/>
  <c r="E105" i="31"/>
  <c r="D105" i="31"/>
  <c r="C105" i="31"/>
  <c r="B105" i="31"/>
  <c r="A105" i="31"/>
  <c r="L104" i="31"/>
  <c r="K104" i="31"/>
  <c r="H104" i="31"/>
  <c r="G104" i="31"/>
  <c r="F104" i="31"/>
  <c r="E104" i="31"/>
  <c r="D104" i="31"/>
  <c r="C104" i="31"/>
  <c r="B104" i="31"/>
  <c r="A104" i="31"/>
  <c r="L103" i="31"/>
  <c r="K103" i="31"/>
  <c r="H103" i="31"/>
  <c r="G103" i="31"/>
  <c r="F103" i="31"/>
  <c r="E103" i="31"/>
  <c r="D103" i="31"/>
  <c r="C103" i="31"/>
  <c r="B103" i="31"/>
  <c r="A103" i="31"/>
  <c r="L102" i="31"/>
  <c r="K102" i="31"/>
  <c r="H102" i="31"/>
  <c r="G102" i="31"/>
  <c r="F102" i="31"/>
  <c r="E102" i="31"/>
  <c r="D102" i="31"/>
  <c r="C102" i="31"/>
  <c r="B102" i="31"/>
  <c r="A102" i="31"/>
  <c r="L101" i="31"/>
  <c r="K101" i="31"/>
  <c r="H101" i="31"/>
  <c r="G101" i="31"/>
  <c r="F101" i="31"/>
  <c r="E101" i="31"/>
  <c r="D101" i="31"/>
  <c r="C101" i="31"/>
  <c r="B101" i="31"/>
  <c r="A101" i="31"/>
  <c r="L100" i="31"/>
  <c r="K100" i="31"/>
  <c r="H100" i="31"/>
  <c r="G100" i="31"/>
  <c r="F100" i="31"/>
  <c r="E100" i="31"/>
  <c r="D100" i="31"/>
  <c r="C100" i="31"/>
  <c r="B100" i="31"/>
  <c r="A100" i="31"/>
  <c r="L99" i="31"/>
  <c r="K99" i="31"/>
  <c r="H99" i="31"/>
  <c r="G99" i="31"/>
  <c r="F99" i="31"/>
  <c r="E99" i="31"/>
  <c r="D99" i="31"/>
  <c r="C99" i="31"/>
  <c r="B99" i="31"/>
  <c r="A99" i="31"/>
  <c r="L98" i="31"/>
  <c r="K98" i="31"/>
  <c r="H98" i="31"/>
  <c r="G98" i="31"/>
  <c r="F98" i="31"/>
  <c r="E98" i="31"/>
  <c r="D98" i="31"/>
  <c r="C98" i="31"/>
  <c r="B98" i="31"/>
  <c r="A98" i="31"/>
  <c r="L97" i="31"/>
  <c r="K97" i="31"/>
  <c r="H97" i="31"/>
  <c r="G97" i="31"/>
  <c r="F97" i="31"/>
  <c r="E97" i="31"/>
  <c r="D97" i="31"/>
  <c r="C97" i="31"/>
  <c r="B97" i="31"/>
  <c r="A97" i="31"/>
  <c r="L96" i="31"/>
  <c r="K96" i="31"/>
  <c r="H96" i="31"/>
  <c r="G96" i="31"/>
  <c r="F96" i="31"/>
  <c r="E96" i="31"/>
  <c r="D96" i="31"/>
  <c r="C96" i="31"/>
  <c r="B96" i="31"/>
  <c r="A96" i="31"/>
  <c r="L95" i="31"/>
  <c r="K95" i="31"/>
  <c r="H95" i="31"/>
  <c r="G95" i="31"/>
  <c r="F95" i="31"/>
  <c r="E95" i="31"/>
  <c r="D95" i="31"/>
  <c r="C95" i="31"/>
  <c r="B95" i="31"/>
  <c r="A95" i="31"/>
  <c r="L94" i="31"/>
  <c r="K94" i="31"/>
  <c r="H94" i="31"/>
  <c r="G94" i="31"/>
  <c r="F94" i="31"/>
  <c r="E94" i="31"/>
  <c r="D94" i="31"/>
  <c r="C94" i="31"/>
  <c r="B94" i="31"/>
  <c r="A94" i="31"/>
  <c r="L93" i="31"/>
  <c r="K93" i="31"/>
  <c r="H93" i="31"/>
  <c r="G93" i="31"/>
  <c r="F93" i="31"/>
  <c r="E93" i="31"/>
  <c r="D93" i="31"/>
  <c r="C93" i="31"/>
  <c r="B93" i="31"/>
  <c r="A93" i="31"/>
  <c r="L92" i="31"/>
  <c r="K92" i="31"/>
  <c r="H92" i="31"/>
  <c r="G92" i="31"/>
  <c r="F92" i="31"/>
  <c r="E92" i="31"/>
  <c r="D92" i="31"/>
  <c r="C92" i="31"/>
  <c r="B92" i="31"/>
  <c r="A92" i="31"/>
  <c r="L91" i="31"/>
  <c r="K91" i="31"/>
  <c r="H91" i="31"/>
  <c r="G91" i="31"/>
  <c r="F91" i="31"/>
  <c r="E91" i="31"/>
  <c r="D91" i="31"/>
  <c r="C91" i="31"/>
  <c r="B91" i="31"/>
  <c r="A91" i="31"/>
  <c r="L90" i="31"/>
  <c r="K90" i="31"/>
  <c r="H90" i="31"/>
  <c r="G90" i="31"/>
  <c r="F90" i="31"/>
  <c r="E90" i="31"/>
  <c r="D90" i="31"/>
  <c r="C90" i="31"/>
  <c r="B90" i="31"/>
  <c r="A90" i="31"/>
  <c r="L89" i="31"/>
  <c r="K89" i="31"/>
  <c r="H89" i="31"/>
  <c r="G89" i="31"/>
  <c r="F89" i="31"/>
  <c r="E89" i="31"/>
  <c r="D89" i="31"/>
  <c r="C89" i="31"/>
  <c r="B89" i="31"/>
  <c r="A89" i="31"/>
  <c r="L88" i="31"/>
  <c r="K88" i="31"/>
  <c r="H88" i="31"/>
  <c r="G88" i="31"/>
  <c r="F88" i="31"/>
  <c r="E88" i="31"/>
  <c r="D88" i="31"/>
  <c r="C88" i="31"/>
  <c r="B88" i="31"/>
  <c r="A88" i="31"/>
  <c r="L87" i="31"/>
  <c r="K87" i="31"/>
  <c r="H87" i="31"/>
  <c r="G87" i="31"/>
  <c r="F87" i="31"/>
  <c r="E87" i="31"/>
  <c r="D87" i="31"/>
  <c r="C87" i="31"/>
  <c r="B87" i="31"/>
  <c r="A87" i="31"/>
  <c r="L86" i="31"/>
  <c r="K86" i="31"/>
  <c r="H86" i="31"/>
  <c r="G86" i="31"/>
  <c r="F86" i="31"/>
  <c r="E86" i="31"/>
  <c r="D86" i="31"/>
  <c r="C86" i="31"/>
  <c r="B86" i="31"/>
  <c r="A86" i="31"/>
  <c r="L85" i="31"/>
  <c r="K85" i="31"/>
  <c r="H85" i="31"/>
  <c r="G85" i="31"/>
  <c r="F85" i="31"/>
  <c r="E85" i="31"/>
  <c r="D85" i="31"/>
  <c r="C85" i="31"/>
  <c r="B85" i="31"/>
  <c r="A85" i="31"/>
  <c r="L84" i="31"/>
  <c r="K84" i="31"/>
  <c r="H84" i="31"/>
  <c r="G84" i="31"/>
  <c r="F84" i="31"/>
  <c r="E84" i="31"/>
  <c r="D84" i="31"/>
  <c r="C84" i="31"/>
  <c r="B84" i="31"/>
  <c r="A84" i="31"/>
  <c r="L83" i="31"/>
  <c r="K83" i="31"/>
  <c r="H83" i="31"/>
  <c r="G83" i="31"/>
  <c r="F83" i="31"/>
  <c r="E83" i="31"/>
  <c r="D83" i="31"/>
  <c r="C83" i="31"/>
  <c r="B83" i="31"/>
  <c r="A83" i="31"/>
  <c r="L82" i="31"/>
  <c r="K82" i="31"/>
  <c r="H82" i="31"/>
  <c r="G82" i="31"/>
  <c r="F82" i="31"/>
  <c r="E82" i="31"/>
  <c r="D82" i="31"/>
  <c r="C82" i="31"/>
  <c r="B82" i="31"/>
  <c r="A82" i="31"/>
  <c r="L81" i="31"/>
  <c r="K81" i="31"/>
  <c r="H81" i="31"/>
  <c r="G81" i="31"/>
  <c r="F81" i="31"/>
  <c r="E81" i="31"/>
  <c r="D81" i="31"/>
  <c r="C81" i="31"/>
  <c r="B81" i="31"/>
  <c r="A81" i="31"/>
  <c r="L80" i="31"/>
  <c r="K80" i="31"/>
  <c r="H80" i="31"/>
  <c r="G80" i="31"/>
  <c r="F80" i="31"/>
  <c r="E80" i="31"/>
  <c r="D80" i="31"/>
  <c r="C80" i="31"/>
  <c r="B80" i="31"/>
  <c r="A80" i="31"/>
  <c r="L79" i="31"/>
  <c r="K79" i="31"/>
  <c r="H79" i="31"/>
  <c r="G79" i="31"/>
  <c r="F79" i="31"/>
  <c r="E79" i="31"/>
  <c r="D79" i="31"/>
  <c r="C79" i="31"/>
  <c r="B79" i="31"/>
  <c r="A79" i="31"/>
  <c r="L78" i="31"/>
  <c r="K78" i="31"/>
  <c r="H78" i="31"/>
  <c r="G78" i="31"/>
  <c r="F78" i="31"/>
  <c r="E78" i="31"/>
  <c r="D78" i="31"/>
  <c r="C78" i="31"/>
  <c r="B78" i="31"/>
  <c r="A78" i="31"/>
  <c r="L77" i="31"/>
  <c r="K77" i="31"/>
  <c r="H77" i="31"/>
  <c r="G77" i="31"/>
  <c r="F77" i="31"/>
  <c r="E77" i="31"/>
  <c r="D77" i="31"/>
  <c r="C77" i="31"/>
  <c r="B77" i="31"/>
  <c r="A77" i="31"/>
  <c r="L76" i="31"/>
  <c r="K76" i="31"/>
  <c r="H76" i="31"/>
  <c r="G76" i="31"/>
  <c r="F76" i="31"/>
  <c r="E76" i="31"/>
  <c r="D76" i="31"/>
  <c r="C76" i="31"/>
  <c r="B76" i="31"/>
  <c r="A76" i="31"/>
  <c r="L75" i="31"/>
  <c r="K75" i="31"/>
  <c r="H75" i="31"/>
  <c r="G75" i="31"/>
  <c r="F75" i="31"/>
  <c r="E75" i="31"/>
  <c r="D75" i="31"/>
  <c r="C75" i="31"/>
  <c r="B75" i="31"/>
  <c r="A75" i="31"/>
  <c r="L74" i="31"/>
  <c r="K74" i="31"/>
  <c r="H74" i="31"/>
  <c r="G74" i="31"/>
  <c r="F74" i="31"/>
  <c r="E74" i="31"/>
  <c r="D74" i="31"/>
  <c r="C74" i="31"/>
  <c r="B74" i="31"/>
  <c r="A74" i="31"/>
  <c r="L73" i="31"/>
  <c r="K73" i="31"/>
  <c r="H73" i="31"/>
  <c r="G73" i="31"/>
  <c r="F73" i="31"/>
  <c r="E73" i="31"/>
  <c r="D73" i="31"/>
  <c r="C73" i="31"/>
  <c r="B73" i="31"/>
  <c r="A73" i="31"/>
  <c r="L72" i="31"/>
  <c r="K72" i="31"/>
  <c r="H72" i="31"/>
  <c r="G72" i="31"/>
  <c r="F72" i="31"/>
  <c r="E72" i="31"/>
  <c r="D72" i="31"/>
  <c r="C72" i="31"/>
  <c r="B72" i="31"/>
  <c r="A72" i="31"/>
  <c r="L71" i="31"/>
  <c r="K71" i="31"/>
  <c r="H71" i="31"/>
  <c r="G71" i="31"/>
  <c r="F71" i="31"/>
  <c r="E71" i="31"/>
  <c r="D71" i="31"/>
  <c r="C71" i="31"/>
  <c r="B71" i="31"/>
  <c r="A71" i="31"/>
  <c r="L70" i="31"/>
  <c r="K70" i="31"/>
  <c r="H70" i="31"/>
  <c r="G70" i="31"/>
  <c r="F70" i="31"/>
  <c r="E70" i="31"/>
  <c r="D70" i="31"/>
  <c r="C70" i="31"/>
  <c r="B70" i="31"/>
  <c r="A70" i="31"/>
  <c r="L69" i="31"/>
  <c r="K69" i="31"/>
  <c r="H69" i="31"/>
  <c r="G69" i="31"/>
  <c r="F69" i="31"/>
  <c r="E69" i="31"/>
  <c r="D69" i="31"/>
  <c r="C69" i="31"/>
  <c r="B69" i="31"/>
  <c r="A69" i="31"/>
  <c r="L68" i="31"/>
  <c r="K68" i="31"/>
  <c r="H68" i="31"/>
  <c r="G68" i="31"/>
  <c r="F68" i="31"/>
  <c r="E68" i="31"/>
  <c r="D68" i="31"/>
  <c r="C68" i="31"/>
  <c r="B68" i="31"/>
  <c r="A68" i="31"/>
  <c r="L67" i="31"/>
  <c r="K67" i="31"/>
  <c r="H67" i="31"/>
  <c r="G67" i="31"/>
  <c r="F67" i="31"/>
  <c r="E67" i="31"/>
  <c r="D67" i="31"/>
  <c r="C67" i="31"/>
  <c r="B67" i="31"/>
  <c r="A67" i="31"/>
  <c r="L66" i="31"/>
  <c r="K66" i="31"/>
  <c r="H66" i="31"/>
  <c r="G66" i="31"/>
  <c r="F66" i="31"/>
  <c r="E66" i="31"/>
  <c r="D66" i="31"/>
  <c r="C66" i="31"/>
  <c r="B66" i="31"/>
  <c r="A66" i="31"/>
  <c r="L65" i="31"/>
  <c r="K65" i="31"/>
  <c r="H65" i="31"/>
  <c r="G65" i="31"/>
  <c r="F65" i="31"/>
  <c r="E65" i="31"/>
  <c r="D65" i="31"/>
  <c r="C65" i="31"/>
  <c r="B65" i="31"/>
  <c r="A65" i="31"/>
  <c r="L64" i="31"/>
  <c r="K64" i="31"/>
  <c r="H64" i="31"/>
  <c r="G64" i="31"/>
  <c r="F64" i="31"/>
  <c r="E64" i="31"/>
  <c r="D64" i="31"/>
  <c r="C64" i="31"/>
  <c r="B64" i="31"/>
  <c r="A64" i="31"/>
  <c r="L63" i="31"/>
  <c r="K63" i="31"/>
  <c r="H63" i="31"/>
  <c r="G63" i="31"/>
  <c r="F63" i="31"/>
  <c r="E63" i="31"/>
  <c r="D63" i="31"/>
  <c r="C63" i="31"/>
  <c r="B63" i="31"/>
  <c r="A63" i="31"/>
  <c r="L62" i="31"/>
  <c r="K62" i="31"/>
  <c r="H62" i="31"/>
  <c r="G62" i="31"/>
  <c r="F62" i="31"/>
  <c r="E62" i="31"/>
  <c r="D62" i="31"/>
  <c r="C62" i="31"/>
  <c r="B62" i="31"/>
  <c r="A62" i="31"/>
  <c r="L61" i="31"/>
  <c r="K61" i="31"/>
  <c r="H61" i="31"/>
  <c r="G61" i="31"/>
  <c r="F61" i="31"/>
  <c r="E61" i="31"/>
  <c r="D61" i="31"/>
  <c r="C61" i="31"/>
  <c r="B61" i="31"/>
  <c r="A61" i="31"/>
  <c r="L60" i="31"/>
  <c r="K60" i="31"/>
  <c r="H60" i="31"/>
  <c r="G60" i="31"/>
  <c r="F60" i="31"/>
  <c r="E60" i="31"/>
  <c r="D60" i="31"/>
  <c r="C60" i="31"/>
  <c r="B60" i="31"/>
  <c r="A60" i="31"/>
  <c r="L59" i="31"/>
  <c r="K59" i="31"/>
  <c r="H59" i="31"/>
  <c r="G59" i="31"/>
  <c r="F59" i="31"/>
  <c r="E59" i="31"/>
  <c r="D59" i="31"/>
  <c r="C59" i="31"/>
  <c r="B59" i="31"/>
  <c r="A59" i="31"/>
  <c r="L58" i="31"/>
  <c r="K58" i="31"/>
  <c r="H58" i="31"/>
  <c r="G58" i="31"/>
  <c r="F58" i="31"/>
  <c r="E58" i="31"/>
  <c r="D58" i="31"/>
  <c r="C58" i="31"/>
  <c r="B58" i="31"/>
  <c r="A58" i="31"/>
  <c r="L57" i="31"/>
  <c r="K57" i="31"/>
  <c r="H57" i="31"/>
  <c r="G57" i="31"/>
  <c r="F57" i="31"/>
  <c r="E57" i="31"/>
  <c r="D57" i="31"/>
  <c r="C57" i="31"/>
  <c r="B57" i="31"/>
  <c r="A57" i="31"/>
  <c r="L56" i="31"/>
  <c r="K56" i="31"/>
  <c r="H56" i="31"/>
  <c r="G56" i="31"/>
  <c r="F56" i="31"/>
  <c r="E56" i="31"/>
  <c r="D56" i="31"/>
  <c r="C56" i="31"/>
  <c r="B56" i="31"/>
  <c r="A56" i="31"/>
  <c r="L55" i="31"/>
  <c r="K55" i="31"/>
  <c r="H55" i="31"/>
  <c r="G55" i="31"/>
  <c r="F55" i="31"/>
  <c r="E55" i="31"/>
  <c r="D55" i="31"/>
  <c r="C55" i="31"/>
  <c r="B55" i="31"/>
  <c r="A55" i="31"/>
  <c r="L54" i="31"/>
  <c r="K54" i="31"/>
  <c r="H54" i="31"/>
  <c r="G54" i="31"/>
  <c r="F54" i="31"/>
  <c r="E54" i="31"/>
  <c r="D54" i="31"/>
  <c r="C54" i="31"/>
  <c r="B54" i="31"/>
  <c r="A54" i="31"/>
  <c r="L53" i="31"/>
  <c r="K53" i="31"/>
  <c r="H53" i="31"/>
  <c r="G53" i="31"/>
  <c r="F53" i="31"/>
  <c r="E53" i="31"/>
  <c r="D53" i="31"/>
  <c r="C53" i="31"/>
  <c r="B53" i="31"/>
  <c r="A53" i="31"/>
  <c r="L52" i="31"/>
  <c r="K52" i="31"/>
  <c r="H52" i="31"/>
  <c r="G52" i="31"/>
  <c r="F52" i="31"/>
  <c r="E52" i="31"/>
  <c r="D52" i="31"/>
  <c r="C52" i="31"/>
  <c r="B52" i="31"/>
  <c r="A52" i="31"/>
  <c r="L51" i="31"/>
  <c r="K51" i="31"/>
  <c r="H51" i="31"/>
  <c r="G51" i="31"/>
  <c r="F51" i="31"/>
  <c r="E51" i="31"/>
  <c r="D51" i="31"/>
  <c r="C51" i="31"/>
  <c r="B51" i="31"/>
  <c r="A51" i="31"/>
  <c r="L50" i="31"/>
  <c r="K50" i="31"/>
  <c r="H50" i="31"/>
  <c r="G50" i="31"/>
  <c r="F50" i="31"/>
  <c r="E50" i="31"/>
  <c r="D50" i="31"/>
  <c r="C50" i="31"/>
  <c r="B50" i="31"/>
  <c r="A50" i="31"/>
  <c r="L49" i="31"/>
  <c r="K49" i="31"/>
  <c r="H49" i="31"/>
  <c r="G49" i="31"/>
  <c r="F49" i="31"/>
  <c r="E49" i="31"/>
  <c r="D49" i="31"/>
  <c r="C49" i="31"/>
  <c r="B49" i="31"/>
  <c r="A49" i="31"/>
  <c r="L48" i="31"/>
  <c r="K48" i="31"/>
  <c r="H48" i="31"/>
  <c r="G48" i="31"/>
  <c r="F48" i="31"/>
  <c r="E48" i="31"/>
  <c r="D48" i="31"/>
  <c r="C48" i="31"/>
  <c r="B48" i="31"/>
  <c r="A48" i="31"/>
  <c r="L47" i="31"/>
  <c r="K47" i="31"/>
  <c r="H47" i="31"/>
  <c r="G47" i="31"/>
  <c r="F47" i="31"/>
  <c r="E47" i="31"/>
  <c r="D47" i="31"/>
  <c r="C47" i="31"/>
  <c r="B47" i="31"/>
  <c r="A47" i="31"/>
  <c r="L46" i="31"/>
  <c r="K46" i="31"/>
  <c r="H46" i="31"/>
  <c r="G46" i="31"/>
  <c r="F46" i="31"/>
  <c r="E46" i="31"/>
  <c r="D46" i="31"/>
  <c r="C46" i="31"/>
  <c r="B46" i="31"/>
  <c r="A46" i="31"/>
  <c r="L45" i="31"/>
  <c r="K45" i="31"/>
  <c r="H45" i="31"/>
  <c r="G45" i="31"/>
  <c r="F45" i="31"/>
  <c r="E45" i="31"/>
  <c r="D45" i="31"/>
  <c r="C45" i="31"/>
  <c r="B45" i="31"/>
  <c r="A45" i="31"/>
  <c r="L44" i="31"/>
  <c r="K44" i="31"/>
  <c r="H44" i="31"/>
  <c r="G44" i="31"/>
  <c r="F44" i="31"/>
  <c r="E44" i="31"/>
  <c r="D44" i="31"/>
  <c r="C44" i="31"/>
  <c r="B44" i="31"/>
  <c r="A44" i="31"/>
  <c r="L43" i="31"/>
  <c r="K43" i="31"/>
  <c r="H43" i="31"/>
  <c r="G43" i="31"/>
  <c r="F43" i="31"/>
  <c r="E43" i="31"/>
  <c r="D43" i="31"/>
  <c r="C43" i="31"/>
  <c r="B43" i="31"/>
  <c r="A43" i="31"/>
  <c r="L42" i="31"/>
  <c r="K42" i="31"/>
  <c r="H42" i="31"/>
  <c r="G42" i="31"/>
  <c r="F42" i="31"/>
  <c r="E42" i="31"/>
  <c r="D42" i="31"/>
  <c r="C42" i="31"/>
  <c r="B42" i="31"/>
  <c r="A42" i="31"/>
  <c r="L41" i="31"/>
  <c r="K41" i="31"/>
  <c r="H41" i="31"/>
  <c r="G41" i="31"/>
  <c r="F41" i="31"/>
  <c r="E41" i="31"/>
  <c r="D41" i="31"/>
  <c r="C41" i="31"/>
  <c r="B41" i="31"/>
  <c r="A41" i="31"/>
  <c r="L40" i="31"/>
  <c r="K40" i="31"/>
  <c r="H40" i="31"/>
  <c r="G40" i="31"/>
  <c r="F40" i="31"/>
  <c r="E40" i="31"/>
  <c r="D40" i="31"/>
  <c r="C40" i="31"/>
  <c r="B40" i="31"/>
  <c r="A40" i="31"/>
  <c r="L39" i="31"/>
  <c r="K39" i="31"/>
  <c r="H39" i="31"/>
  <c r="G39" i="31"/>
  <c r="F39" i="31"/>
  <c r="E39" i="31"/>
  <c r="D39" i="31"/>
  <c r="C39" i="31"/>
  <c r="B39" i="31"/>
  <c r="A39" i="31"/>
  <c r="L38" i="31"/>
  <c r="K38" i="31"/>
  <c r="H38" i="31"/>
  <c r="G38" i="31"/>
  <c r="F38" i="31"/>
  <c r="E38" i="31"/>
  <c r="D38" i="31"/>
  <c r="C38" i="31"/>
  <c r="B38" i="31"/>
  <c r="A38" i="31"/>
  <c r="L37" i="31"/>
  <c r="K37" i="31"/>
  <c r="H37" i="31"/>
  <c r="G37" i="31"/>
  <c r="F37" i="31"/>
  <c r="E37" i="31"/>
  <c r="D37" i="31"/>
  <c r="C37" i="31"/>
  <c r="B37" i="31"/>
  <c r="A37" i="31"/>
  <c r="L36" i="31"/>
  <c r="K36" i="31"/>
  <c r="H36" i="31"/>
  <c r="G36" i="31"/>
  <c r="F36" i="31"/>
  <c r="E36" i="31"/>
  <c r="D36" i="31"/>
  <c r="C36" i="31"/>
  <c r="B36" i="31"/>
  <c r="A36" i="31"/>
  <c r="L35" i="31"/>
  <c r="K35" i="31"/>
  <c r="H35" i="31"/>
  <c r="G35" i="31"/>
  <c r="F35" i="31"/>
  <c r="E35" i="31"/>
  <c r="D35" i="31"/>
  <c r="C35" i="31"/>
  <c r="B35" i="31"/>
  <c r="A35" i="31"/>
  <c r="L34" i="31"/>
  <c r="K34" i="31"/>
  <c r="H34" i="31"/>
  <c r="G34" i="31"/>
  <c r="F34" i="31"/>
  <c r="E34" i="31"/>
  <c r="D34" i="31"/>
  <c r="C34" i="31"/>
  <c r="B34" i="31"/>
  <c r="A34" i="31"/>
  <c r="L33" i="31"/>
  <c r="K33" i="31"/>
  <c r="H33" i="31"/>
  <c r="G33" i="31"/>
  <c r="F33" i="31"/>
  <c r="E33" i="31"/>
  <c r="D33" i="31"/>
  <c r="C33" i="31"/>
  <c r="B33" i="31"/>
  <c r="A33" i="31"/>
  <c r="L32" i="31"/>
  <c r="K32" i="31"/>
  <c r="H32" i="31"/>
  <c r="G32" i="31"/>
  <c r="F32" i="31"/>
  <c r="E32" i="31"/>
  <c r="D32" i="31"/>
  <c r="C32" i="31"/>
  <c r="B32" i="31"/>
  <c r="A32" i="31"/>
  <c r="L31" i="31"/>
  <c r="K31" i="31"/>
  <c r="H31" i="31"/>
  <c r="G31" i="31"/>
  <c r="F31" i="31"/>
  <c r="E31" i="31"/>
  <c r="D31" i="31"/>
  <c r="C31" i="31"/>
  <c r="B31" i="31"/>
  <c r="A31" i="31"/>
  <c r="L30" i="31"/>
  <c r="K30" i="31"/>
  <c r="H30" i="31"/>
  <c r="G30" i="31"/>
  <c r="F30" i="31"/>
  <c r="E30" i="31"/>
  <c r="D30" i="31"/>
  <c r="C30" i="31"/>
  <c r="B30" i="31"/>
  <c r="A30" i="31"/>
  <c r="L29" i="31"/>
  <c r="K29" i="31"/>
  <c r="H29" i="31"/>
  <c r="G29" i="31"/>
  <c r="F29" i="31"/>
  <c r="E29" i="31"/>
  <c r="D29" i="31"/>
  <c r="C29" i="31"/>
  <c r="B29" i="31"/>
  <c r="A29" i="31"/>
  <c r="L28" i="31"/>
  <c r="K28" i="31"/>
  <c r="H28" i="31"/>
  <c r="G28" i="31"/>
  <c r="F28" i="31"/>
  <c r="E28" i="31"/>
  <c r="D28" i="31"/>
  <c r="C28" i="31"/>
  <c r="B28" i="31"/>
  <c r="A28" i="31"/>
  <c r="L27" i="31"/>
  <c r="K27" i="31"/>
  <c r="H27" i="31"/>
  <c r="G27" i="31"/>
  <c r="F27" i="31"/>
  <c r="E27" i="31"/>
  <c r="D27" i="31"/>
  <c r="C27" i="31"/>
  <c r="B27" i="31"/>
  <c r="A27" i="31"/>
  <c r="L26" i="31"/>
  <c r="K26" i="31"/>
  <c r="H26" i="31"/>
  <c r="G26" i="31"/>
  <c r="F26" i="31"/>
  <c r="E26" i="31"/>
  <c r="D26" i="31"/>
  <c r="C26" i="31"/>
  <c r="B26" i="31"/>
  <c r="A26" i="31"/>
  <c r="L25" i="31"/>
  <c r="K25" i="31"/>
  <c r="H25" i="31"/>
  <c r="G25" i="31"/>
  <c r="F25" i="31"/>
  <c r="E25" i="31"/>
  <c r="D25" i="31"/>
  <c r="C25" i="31"/>
  <c r="B25" i="31"/>
  <c r="A25" i="31"/>
  <c r="L24" i="31"/>
  <c r="K24" i="31"/>
  <c r="H24" i="31"/>
  <c r="G24" i="31"/>
  <c r="F24" i="31"/>
  <c r="E24" i="31"/>
  <c r="D24" i="31"/>
  <c r="C24" i="31"/>
  <c r="B24" i="31"/>
  <c r="A24" i="31"/>
  <c r="L23" i="31"/>
  <c r="K23" i="31"/>
  <c r="H23" i="31"/>
  <c r="G23" i="31"/>
  <c r="F23" i="31"/>
  <c r="E23" i="31"/>
  <c r="D23" i="31"/>
  <c r="C23" i="31"/>
  <c r="B23" i="31"/>
  <c r="A23" i="31"/>
  <c r="L22" i="31"/>
  <c r="K22" i="31"/>
  <c r="H22" i="31"/>
  <c r="G22" i="31"/>
  <c r="F22" i="31"/>
  <c r="E22" i="31"/>
  <c r="D22" i="31"/>
  <c r="C22" i="31"/>
  <c r="B22" i="31"/>
  <c r="A22" i="31"/>
  <c r="L21" i="31"/>
  <c r="K21" i="31"/>
  <c r="H21" i="31"/>
  <c r="G21" i="31"/>
  <c r="F21" i="31"/>
  <c r="E21" i="31"/>
  <c r="D21" i="31"/>
  <c r="C21" i="31"/>
  <c r="B21" i="31"/>
  <c r="A21" i="31"/>
  <c r="L20" i="31"/>
  <c r="K20" i="31"/>
  <c r="H20" i="31"/>
  <c r="G20" i="31"/>
  <c r="F20" i="31"/>
  <c r="E20" i="31"/>
  <c r="D20" i="31"/>
  <c r="C20" i="31"/>
  <c r="B20" i="31"/>
  <c r="A20" i="31"/>
  <c r="L19" i="31"/>
  <c r="K19" i="31"/>
  <c r="H19" i="31"/>
  <c r="G19" i="31"/>
  <c r="F19" i="31"/>
  <c r="E19" i="31"/>
  <c r="D19" i="31"/>
  <c r="C19" i="31"/>
  <c r="B19" i="31"/>
  <c r="A19" i="31"/>
  <c r="L18" i="31"/>
  <c r="K18" i="31"/>
  <c r="H18" i="31"/>
  <c r="G18" i="31"/>
  <c r="F18" i="31"/>
  <c r="E18" i="31"/>
  <c r="D18" i="31"/>
  <c r="C18" i="31"/>
  <c r="B18" i="31"/>
  <c r="A18" i="31"/>
  <c r="L17" i="31"/>
  <c r="K17" i="31"/>
  <c r="H17" i="31"/>
  <c r="G17" i="31"/>
  <c r="F17" i="31"/>
  <c r="E17" i="31"/>
  <c r="D17" i="31"/>
  <c r="C17" i="31"/>
  <c r="B17" i="31"/>
  <c r="A17" i="31"/>
  <c r="L16" i="31"/>
  <c r="K16" i="31"/>
  <c r="H16" i="31"/>
  <c r="G16" i="31"/>
  <c r="F16" i="31"/>
  <c r="E16" i="31"/>
  <c r="D16" i="31"/>
  <c r="C16" i="31"/>
  <c r="B16" i="31"/>
  <c r="A16" i="31"/>
  <c r="L15" i="31"/>
  <c r="K15" i="31"/>
  <c r="H15" i="31"/>
  <c r="G15" i="31"/>
  <c r="F15" i="31"/>
  <c r="E15" i="31"/>
  <c r="D15" i="31"/>
  <c r="C15" i="31"/>
  <c r="B15" i="31"/>
  <c r="A15" i="31"/>
  <c r="L14" i="31"/>
  <c r="K14" i="31"/>
  <c r="H14" i="31"/>
  <c r="G14" i="31"/>
  <c r="F14" i="31"/>
  <c r="E14" i="31"/>
  <c r="D14" i="31"/>
  <c r="C14" i="31"/>
  <c r="B14" i="31"/>
  <c r="A14" i="31"/>
  <c r="L13" i="31"/>
  <c r="K13" i="31"/>
  <c r="H13" i="31"/>
  <c r="G13" i="31"/>
  <c r="F13" i="31"/>
  <c r="E13" i="31"/>
  <c r="D13" i="31"/>
  <c r="C13" i="31"/>
  <c r="B13" i="31"/>
  <c r="A13" i="31"/>
  <c r="L12" i="31"/>
  <c r="K12" i="31"/>
  <c r="H12" i="31"/>
  <c r="G12" i="31"/>
  <c r="F12" i="31"/>
  <c r="E12" i="31"/>
  <c r="D12" i="31"/>
  <c r="C12" i="31"/>
  <c r="B12" i="31"/>
  <c r="A12" i="31"/>
  <c r="L11" i="31"/>
  <c r="K11" i="31"/>
  <c r="H11" i="31"/>
  <c r="G11" i="31"/>
  <c r="F11" i="31"/>
  <c r="E11" i="31"/>
  <c r="D11" i="31"/>
  <c r="C11" i="31"/>
  <c r="B11" i="31"/>
  <c r="A11" i="31"/>
  <c r="L10" i="31"/>
  <c r="K10" i="31"/>
  <c r="H10" i="31"/>
  <c r="G10" i="31"/>
  <c r="F10" i="31"/>
  <c r="E10" i="31"/>
  <c r="D10" i="31"/>
  <c r="C10" i="31"/>
  <c r="B10" i="31"/>
  <c r="A10" i="31"/>
  <c r="L9" i="31"/>
  <c r="K9" i="31"/>
  <c r="H9" i="31"/>
  <c r="G9" i="31"/>
  <c r="F9" i="31"/>
  <c r="E9" i="31"/>
  <c r="D9" i="31"/>
  <c r="C9" i="31"/>
  <c r="B9" i="31"/>
  <c r="A9" i="31"/>
  <c r="L8" i="31"/>
  <c r="K8" i="31"/>
  <c r="H8" i="31"/>
  <c r="G8" i="31"/>
  <c r="F8" i="31"/>
  <c r="E8" i="31"/>
  <c r="D8" i="31"/>
  <c r="C8" i="31"/>
  <c r="B8" i="31"/>
  <c r="A8" i="31"/>
  <c r="K7" i="31"/>
  <c r="H7" i="31"/>
  <c r="G7" i="31"/>
  <c r="F7" i="31"/>
  <c r="E7" i="31"/>
  <c r="D7" i="31"/>
  <c r="C7" i="31"/>
  <c r="B7" i="31"/>
  <c r="A7" i="31"/>
  <c r="J2" i="31"/>
  <c r="D39" i="1" s="1"/>
  <c r="L110" i="30"/>
  <c r="K110" i="30"/>
  <c r="H110" i="30"/>
  <c r="G110" i="30"/>
  <c r="F110" i="30"/>
  <c r="E110" i="30"/>
  <c r="D110" i="30"/>
  <c r="C110" i="30"/>
  <c r="B110" i="30"/>
  <c r="A110" i="30"/>
  <c r="L109" i="30"/>
  <c r="K109" i="30"/>
  <c r="H109" i="30"/>
  <c r="G109" i="30"/>
  <c r="F109" i="30"/>
  <c r="E109" i="30"/>
  <c r="D109" i="30"/>
  <c r="C109" i="30"/>
  <c r="B109" i="30"/>
  <c r="A109" i="30"/>
  <c r="L108" i="30"/>
  <c r="K108" i="30"/>
  <c r="H108" i="30"/>
  <c r="G108" i="30"/>
  <c r="F108" i="30"/>
  <c r="E108" i="30"/>
  <c r="D108" i="30"/>
  <c r="C108" i="30"/>
  <c r="B108" i="30"/>
  <c r="A108" i="30"/>
  <c r="L107" i="30"/>
  <c r="K107" i="30"/>
  <c r="H107" i="30"/>
  <c r="G107" i="30"/>
  <c r="F107" i="30"/>
  <c r="E107" i="30"/>
  <c r="D107" i="30"/>
  <c r="C107" i="30"/>
  <c r="B107" i="30"/>
  <c r="A107" i="30"/>
  <c r="L106" i="30"/>
  <c r="K106" i="30"/>
  <c r="H106" i="30"/>
  <c r="G106" i="30"/>
  <c r="F106" i="30"/>
  <c r="E106" i="30"/>
  <c r="D106" i="30"/>
  <c r="C106" i="30"/>
  <c r="B106" i="30"/>
  <c r="A106" i="30"/>
  <c r="L105" i="30"/>
  <c r="K105" i="30"/>
  <c r="H105" i="30"/>
  <c r="G105" i="30"/>
  <c r="F105" i="30"/>
  <c r="E105" i="30"/>
  <c r="D105" i="30"/>
  <c r="C105" i="30"/>
  <c r="B105" i="30"/>
  <c r="A105" i="30"/>
  <c r="L104" i="30"/>
  <c r="K104" i="30"/>
  <c r="H104" i="30"/>
  <c r="G104" i="30"/>
  <c r="F104" i="30"/>
  <c r="E104" i="30"/>
  <c r="D104" i="30"/>
  <c r="C104" i="30"/>
  <c r="B104" i="30"/>
  <c r="A104" i="30"/>
  <c r="L103" i="30"/>
  <c r="K103" i="30"/>
  <c r="H103" i="30"/>
  <c r="G103" i="30"/>
  <c r="F103" i="30"/>
  <c r="E103" i="30"/>
  <c r="D103" i="30"/>
  <c r="C103" i="30"/>
  <c r="B103" i="30"/>
  <c r="A103" i="30"/>
  <c r="L102" i="30"/>
  <c r="K102" i="30"/>
  <c r="H102" i="30"/>
  <c r="G102" i="30"/>
  <c r="F102" i="30"/>
  <c r="E102" i="30"/>
  <c r="D102" i="30"/>
  <c r="C102" i="30"/>
  <c r="B102" i="30"/>
  <c r="A102" i="30"/>
  <c r="L101" i="30"/>
  <c r="K101" i="30"/>
  <c r="H101" i="30"/>
  <c r="G101" i="30"/>
  <c r="F101" i="30"/>
  <c r="E101" i="30"/>
  <c r="D101" i="30"/>
  <c r="C101" i="30"/>
  <c r="B101" i="30"/>
  <c r="A101" i="30"/>
  <c r="L100" i="30"/>
  <c r="K100" i="30"/>
  <c r="H100" i="30"/>
  <c r="G100" i="30"/>
  <c r="F100" i="30"/>
  <c r="E100" i="30"/>
  <c r="D100" i="30"/>
  <c r="C100" i="30"/>
  <c r="B100" i="30"/>
  <c r="A100" i="30"/>
  <c r="L99" i="30"/>
  <c r="K99" i="30"/>
  <c r="H99" i="30"/>
  <c r="G99" i="30"/>
  <c r="F99" i="30"/>
  <c r="E99" i="30"/>
  <c r="D99" i="30"/>
  <c r="C99" i="30"/>
  <c r="B99" i="30"/>
  <c r="A99" i="30"/>
  <c r="L98" i="30"/>
  <c r="K98" i="30"/>
  <c r="H98" i="30"/>
  <c r="G98" i="30"/>
  <c r="F98" i="30"/>
  <c r="E98" i="30"/>
  <c r="D98" i="30"/>
  <c r="C98" i="30"/>
  <c r="B98" i="30"/>
  <c r="A98" i="30"/>
  <c r="L97" i="30"/>
  <c r="K97" i="30"/>
  <c r="H97" i="30"/>
  <c r="G97" i="30"/>
  <c r="F97" i="30"/>
  <c r="E97" i="30"/>
  <c r="D97" i="30"/>
  <c r="C97" i="30"/>
  <c r="B97" i="30"/>
  <c r="A97" i="30"/>
  <c r="L96" i="30"/>
  <c r="K96" i="30"/>
  <c r="H96" i="30"/>
  <c r="G96" i="30"/>
  <c r="F96" i="30"/>
  <c r="E96" i="30"/>
  <c r="D96" i="30"/>
  <c r="C96" i="30"/>
  <c r="B96" i="30"/>
  <c r="A96" i="30"/>
  <c r="L95" i="30"/>
  <c r="K95" i="30"/>
  <c r="H95" i="30"/>
  <c r="G95" i="30"/>
  <c r="F95" i="30"/>
  <c r="E95" i="30"/>
  <c r="D95" i="30"/>
  <c r="C95" i="30"/>
  <c r="B95" i="30"/>
  <c r="A95" i="30"/>
  <c r="L94" i="30"/>
  <c r="K94" i="30"/>
  <c r="H94" i="30"/>
  <c r="G94" i="30"/>
  <c r="F94" i="30"/>
  <c r="E94" i="30"/>
  <c r="D94" i="30"/>
  <c r="C94" i="30"/>
  <c r="B94" i="30"/>
  <c r="A94" i="30"/>
  <c r="L93" i="30"/>
  <c r="K93" i="30"/>
  <c r="H93" i="30"/>
  <c r="G93" i="30"/>
  <c r="F93" i="30"/>
  <c r="E93" i="30"/>
  <c r="D93" i="30"/>
  <c r="C93" i="30"/>
  <c r="B93" i="30"/>
  <c r="A93" i="30"/>
  <c r="L92" i="30"/>
  <c r="K92" i="30"/>
  <c r="H92" i="30"/>
  <c r="G92" i="30"/>
  <c r="F92" i="30"/>
  <c r="E92" i="30"/>
  <c r="D92" i="30"/>
  <c r="C92" i="30"/>
  <c r="B92" i="30"/>
  <c r="A92" i="30"/>
  <c r="L91" i="30"/>
  <c r="K91" i="30"/>
  <c r="H91" i="30"/>
  <c r="G91" i="30"/>
  <c r="F91" i="30"/>
  <c r="E91" i="30"/>
  <c r="D91" i="30"/>
  <c r="C91" i="30"/>
  <c r="B91" i="30"/>
  <c r="A91" i="30"/>
  <c r="L90" i="30"/>
  <c r="K90" i="30"/>
  <c r="H90" i="30"/>
  <c r="G90" i="30"/>
  <c r="F90" i="30"/>
  <c r="E90" i="30"/>
  <c r="D90" i="30"/>
  <c r="C90" i="30"/>
  <c r="B90" i="30"/>
  <c r="A90" i="30"/>
  <c r="L89" i="30"/>
  <c r="K89" i="30"/>
  <c r="H89" i="30"/>
  <c r="G89" i="30"/>
  <c r="F89" i="30"/>
  <c r="E89" i="30"/>
  <c r="D89" i="30"/>
  <c r="C89" i="30"/>
  <c r="B89" i="30"/>
  <c r="A89" i="30"/>
  <c r="L88" i="30"/>
  <c r="K88" i="30"/>
  <c r="H88" i="30"/>
  <c r="G88" i="30"/>
  <c r="F88" i="30"/>
  <c r="E88" i="30"/>
  <c r="D88" i="30"/>
  <c r="C88" i="30"/>
  <c r="B88" i="30"/>
  <c r="A88" i="30"/>
  <c r="L87" i="30"/>
  <c r="K87" i="30"/>
  <c r="H87" i="30"/>
  <c r="G87" i="30"/>
  <c r="F87" i="30"/>
  <c r="E87" i="30"/>
  <c r="D87" i="30"/>
  <c r="C87" i="30"/>
  <c r="B87" i="30"/>
  <c r="A87" i="30"/>
  <c r="L86" i="30"/>
  <c r="K86" i="30"/>
  <c r="H86" i="30"/>
  <c r="G86" i="30"/>
  <c r="F86" i="30"/>
  <c r="E86" i="30"/>
  <c r="D86" i="30"/>
  <c r="C86" i="30"/>
  <c r="B86" i="30"/>
  <c r="A86" i="30"/>
  <c r="L85" i="30"/>
  <c r="K85" i="30"/>
  <c r="H85" i="30"/>
  <c r="G85" i="30"/>
  <c r="F85" i="30"/>
  <c r="E85" i="30"/>
  <c r="D85" i="30"/>
  <c r="C85" i="30"/>
  <c r="B85" i="30"/>
  <c r="A85" i="30"/>
  <c r="L84" i="30"/>
  <c r="K84" i="30"/>
  <c r="H84" i="30"/>
  <c r="G84" i="30"/>
  <c r="F84" i="30"/>
  <c r="E84" i="30"/>
  <c r="D84" i="30"/>
  <c r="C84" i="30"/>
  <c r="B84" i="30"/>
  <c r="A84" i="30"/>
  <c r="L83" i="30"/>
  <c r="K83" i="30"/>
  <c r="H83" i="30"/>
  <c r="G83" i="30"/>
  <c r="F83" i="30"/>
  <c r="E83" i="30"/>
  <c r="D83" i="30"/>
  <c r="C83" i="30"/>
  <c r="B83" i="30"/>
  <c r="A83" i="30"/>
  <c r="L82" i="30"/>
  <c r="K82" i="30"/>
  <c r="H82" i="30"/>
  <c r="G82" i="30"/>
  <c r="F82" i="30"/>
  <c r="E82" i="30"/>
  <c r="D82" i="30"/>
  <c r="C82" i="30"/>
  <c r="B82" i="30"/>
  <c r="A82" i="30"/>
  <c r="L81" i="30"/>
  <c r="K81" i="30"/>
  <c r="H81" i="30"/>
  <c r="G81" i="30"/>
  <c r="F81" i="30"/>
  <c r="E81" i="30"/>
  <c r="D81" i="30"/>
  <c r="C81" i="30"/>
  <c r="B81" i="30"/>
  <c r="A81" i="30"/>
  <c r="L80" i="30"/>
  <c r="K80" i="30"/>
  <c r="H80" i="30"/>
  <c r="G80" i="30"/>
  <c r="F80" i="30"/>
  <c r="E80" i="30"/>
  <c r="D80" i="30"/>
  <c r="C80" i="30"/>
  <c r="B80" i="30"/>
  <c r="A80" i="30"/>
  <c r="L79" i="30"/>
  <c r="K79" i="30"/>
  <c r="H79" i="30"/>
  <c r="G79" i="30"/>
  <c r="F79" i="30"/>
  <c r="E79" i="30"/>
  <c r="D79" i="30"/>
  <c r="C79" i="30"/>
  <c r="B79" i="30"/>
  <c r="A79" i="30"/>
  <c r="L78" i="30"/>
  <c r="K78" i="30"/>
  <c r="H78" i="30"/>
  <c r="G78" i="30"/>
  <c r="F78" i="30"/>
  <c r="E78" i="30"/>
  <c r="D78" i="30"/>
  <c r="C78" i="30"/>
  <c r="B78" i="30"/>
  <c r="A78" i="30"/>
  <c r="L77" i="30"/>
  <c r="K77" i="30"/>
  <c r="H77" i="30"/>
  <c r="G77" i="30"/>
  <c r="F77" i="30"/>
  <c r="E77" i="30"/>
  <c r="D77" i="30"/>
  <c r="C77" i="30"/>
  <c r="B77" i="30"/>
  <c r="A77" i="30"/>
  <c r="L76" i="30"/>
  <c r="K76" i="30"/>
  <c r="H76" i="30"/>
  <c r="G76" i="30"/>
  <c r="F76" i="30"/>
  <c r="E76" i="30"/>
  <c r="D76" i="30"/>
  <c r="C76" i="30"/>
  <c r="B76" i="30"/>
  <c r="A76" i="30"/>
  <c r="L75" i="30"/>
  <c r="K75" i="30"/>
  <c r="H75" i="30"/>
  <c r="G75" i="30"/>
  <c r="F75" i="30"/>
  <c r="E75" i="30"/>
  <c r="D75" i="30"/>
  <c r="C75" i="30"/>
  <c r="B75" i="30"/>
  <c r="A75" i="30"/>
  <c r="L74" i="30"/>
  <c r="K74" i="30"/>
  <c r="H74" i="30"/>
  <c r="G74" i="30"/>
  <c r="F74" i="30"/>
  <c r="E74" i="30"/>
  <c r="D74" i="30"/>
  <c r="C74" i="30"/>
  <c r="B74" i="30"/>
  <c r="A74" i="30"/>
  <c r="L73" i="30"/>
  <c r="K73" i="30"/>
  <c r="H73" i="30"/>
  <c r="G73" i="30"/>
  <c r="F73" i="30"/>
  <c r="E73" i="30"/>
  <c r="D73" i="30"/>
  <c r="C73" i="30"/>
  <c r="B73" i="30"/>
  <c r="A73" i="30"/>
  <c r="L72" i="30"/>
  <c r="K72" i="30"/>
  <c r="H72" i="30"/>
  <c r="G72" i="30"/>
  <c r="F72" i="30"/>
  <c r="E72" i="30"/>
  <c r="D72" i="30"/>
  <c r="C72" i="30"/>
  <c r="B72" i="30"/>
  <c r="A72" i="30"/>
  <c r="L71" i="30"/>
  <c r="K71" i="30"/>
  <c r="H71" i="30"/>
  <c r="G71" i="30"/>
  <c r="F71" i="30"/>
  <c r="E71" i="30"/>
  <c r="D71" i="30"/>
  <c r="C71" i="30"/>
  <c r="B71" i="30"/>
  <c r="A71" i="30"/>
  <c r="L70" i="30"/>
  <c r="K70" i="30"/>
  <c r="H70" i="30"/>
  <c r="G70" i="30"/>
  <c r="F70" i="30"/>
  <c r="E70" i="30"/>
  <c r="D70" i="30"/>
  <c r="C70" i="30"/>
  <c r="B70" i="30"/>
  <c r="A70" i="30"/>
  <c r="L69" i="30"/>
  <c r="K69" i="30"/>
  <c r="H69" i="30"/>
  <c r="G69" i="30"/>
  <c r="F69" i="30"/>
  <c r="E69" i="30"/>
  <c r="D69" i="30"/>
  <c r="C69" i="30"/>
  <c r="B69" i="30"/>
  <c r="A69" i="30"/>
  <c r="L68" i="30"/>
  <c r="K68" i="30"/>
  <c r="H68" i="30"/>
  <c r="G68" i="30"/>
  <c r="F68" i="30"/>
  <c r="E68" i="30"/>
  <c r="D68" i="30"/>
  <c r="C68" i="30"/>
  <c r="B68" i="30"/>
  <c r="A68" i="30"/>
  <c r="L67" i="30"/>
  <c r="K67" i="30"/>
  <c r="H67" i="30"/>
  <c r="G67" i="30"/>
  <c r="F67" i="30"/>
  <c r="E67" i="30"/>
  <c r="D67" i="30"/>
  <c r="C67" i="30"/>
  <c r="B67" i="30"/>
  <c r="A67" i="30"/>
  <c r="L66" i="30"/>
  <c r="K66" i="30"/>
  <c r="H66" i="30"/>
  <c r="G66" i="30"/>
  <c r="F66" i="30"/>
  <c r="E66" i="30"/>
  <c r="D66" i="30"/>
  <c r="C66" i="30"/>
  <c r="B66" i="30"/>
  <c r="A66" i="30"/>
  <c r="L65" i="30"/>
  <c r="K65" i="30"/>
  <c r="H65" i="30"/>
  <c r="G65" i="30"/>
  <c r="F65" i="30"/>
  <c r="E65" i="30"/>
  <c r="D65" i="30"/>
  <c r="C65" i="30"/>
  <c r="B65" i="30"/>
  <c r="A65" i="30"/>
  <c r="L64" i="30"/>
  <c r="K64" i="30"/>
  <c r="H64" i="30"/>
  <c r="G64" i="30"/>
  <c r="F64" i="30"/>
  <c r="E64" i="30"/>
  <c r="D64" i="30"/>
  <c r="C64" i="30"/>
  <c r="B64" i="30"/>
  <c r="A64" i="30"/>
  <c r="L63" i="30"/>
  <c r="K63" i="30"/>
  <c r="H63" i="30"/>
  <c r="G63" i="30"/>
  <c r="F63" i="30"/>
  <c r="E63" i="30"/>
  <c r="D63" i="30"/>
  <c r="C63" i="30"/>
  <c r="B63" i="30"/>
  <c r="A63" i="30"/>
  <c r="L62" i="30"/>
  <c r="K62" i="30"/>
  <c r="H62" i="30"/>
  <c r="G62" i="30"/>
  <c r="F62" i="30"/>
  <c r="E62" i="30"/>
  <c r="D62" i="30"/>
  <c r="C62" i="30"/>
  <c r="B62" i="30"/>
  <c r="A62" i="30"/>
  <c r="L61" i="30"/>
  <c r="K61" i="30"/>
  <c r="H61" i="30"/>
  <c r="G61" i="30"/>
  <c r="F61" i="30"/>
  <c r="E61" i="30"/>
  <c r="D61" i="30"/>
  <c r="C61" i="30"/>
  <c r="B61" i="30"/>
  <c r="A61" i="30"/>
  <c r="L60" i="30"/>
  <c r="K60" i="30"/>
  <c r="H60" i="30"/>
  <c r="G60" i="30"/>
  <c r="F60" i="30"/>
  <c r="E60" i="30"/>
  <c r="D60" i="30"/>
  <c r="C60" i="30"/>
  <c r="B60" i="30"/>
  <c r="A60" i="30"/>
  <c r="L59" i="30"/>
  <c r="K59" i="30"/>
  <c r="H59" i="30"/>
  <c r="G59" i="30"/>
  <c r="F59" i="30"/>
  <c r="E59" i="30"/>
  <c r="D59" i="30"/>
  <c r="C59" i="30"/>
  <c r="B59" i="30"/>
  <c r="A59" i="30"/>
  <c r="L58" i="30"/>
  <c r="K58" i="30"/>
  <c r="H58" i="30"/>
  <c r="G58" i="30"/>
  <c r="F58" i="30"/>
  <c r="E58" i="30"/>
  <c r="D58" i="30"/>
  <c r="C58" i="30"/>
  <c r="B58" i="30"/>
  <c r="A58" i="30"/>
  <c r="L57" i="30"/>
  <c r="K57" i="30"/>
  <c r="H57" i="30"/>
  <c r="G57" i="30"/>
  <c r="F57" i="30"/>
  <c r="E57" i="30"/>
  <c r="D57" i="30"/>
  <c r="C57" i="30"/>
  <c r="B57" i="30"/>
  <c r="A57" i="30"/>
  <c r="L56" i="30"/>
  <c r="K56" i="30"/>
  <c r="H56" i="30"/>
  <c r="G56" i="30"/>
  <c r="F56" i="30"/>
  <c r="E56" i="30"/>
  <c r="D56" i="30"/>
  <c r="C56" i="30"/>
  <c r="B56" i="30"/>
  <c r="A56" i="30"/>
  <c r="L55" i="30"/>
  <c r="K55" i="30"/>
  <c r="H55" i="30"/>
  <c r="G55" i="30"/>
  <c r="F55" i="30"/>
  <c r="E55" i="30"/>
  <c r="D55" i="30"/>
  <c r="C55" i="30"/>
  <c r="B55" i="30"/>
  <c r="A55" i="30"/>
  <c r="L54" i="30"/>
  <c r="K54" i="30"/>
  <c r="H54" i="30"/>
  <c r="G54" i="30"/>
  <c r="F54" i="30"/>
  <c r="E54" i="30"/>
  <c r="D54" i="30"/>
  <c r="C54" i="30"/>
  <c r="B54" i="30"/>
  <c r="A54" i="30"/>
  <c r="L53" i="30"/>
  <c r="K53" i="30"/>
  <c r="H53" i="30"/>
  <c r="G53" i="30"/>
  <c r="F53" i="30"/>
  <c r="E53" i="30"/>
  <c r="D53" i="30"/>
  <c r="C53" i="30"/>
  <c r="B53" i="30"/>
  <c r="A53" i="30"/>
  <c r="L52" i="30"/>
  <c r="K52" i="30"/>
  <c r="H52" i="30"/>
  <c r="G52" i="30"/>
  <c r="F52" i="30"/>
  <c r="E52" i="30"/>
  <c r="D52" i="30"/>
  <c r="C52" i="30"/>
  <c r="B52" i="30"/>
  <c r="A52" i="30"/>
  <c r="L51" i="30"/>
  <c r="K51" i="30"/>
  <c r="H51" i="30"/>
  <c r="G51" i="30"/>
  <c r="F51" i="30"/>
  <c r="E51" i="30"/>
  <c r="D51" i="30"/>
  <c r="C51" i="30"/>
  <c r="B51" i="30"/>
  <c r="A51" i="30"/>
  <c r="L50" i="30"/>
  <c r="K50" i="30"/>
  <c r="H50" i="30"/>
  <c r="G50" i="30"/>
  <c r="F50" i="30"/>
  <c r="E50" i="30"/>
  <c r="D50" i="30"/>
  <c r="C50" i="30"/>
  <c r="B50" i="30"/>
  <c r="A50" i="30"/>
  <c r="L49" i="30"/>
  <c r="K49" i="30"/>
  <c r="H49" i="30"/>
  <c r="G49" i="30"/>
  <c r="F49" i="30"/>
  <c r="E49" i="30"/>
  <c r="D49" i="30"/>
  <c r="C49" i="30"/>
  <c r="B49" i="30"/>
  <c r="A49" i="30"/>
  <c r="L48" i="30"/>
  <c r="K48" i="30"/>
  <c r="H48" i="30"/>
  <c r="G48" i="30"/>
  <c r="F48" i="30"/>
  <c r="E48" i="30"/>
  <c r="D48" i="30"/>
  <c r="C48" i="30"/>
  <c r="B48" i="30"/>
  <c r="A48" i="30"/>
  <c r="L47" i="30"/>
  <c r="K47" i="30"/>
  <c r="H47" i="30"/>
  <c r="G47" i="30"/>
  <c r="F47" i="30"/>
  <c r="E47" i="30"/>
  <c r="D47" i="30"/>
  <c r="C47" i="30"/>
  <c r="B47" i="30"/>
  <c r="A47" i="30"/>
  <c r="L46" i="30"/>
  <c r="K46" i="30"/>
  <c r="H46" i="30"/>
  <c r="G46" i="30"/>
  <c r="F46" i="30"/>
  <c r="E46" i="30"/>
  <c r="D46" i="30"/>
  <c r="C46" i="30"/>
  <c r="B46" i="30"/>
  <c r="A46" i="30"/>
  <c r="L45" i="30"/>
  <c r="K45" i="30"/>
  <c r="H45" i="30"/>
  <c r="G45" i="30"/>
  <c r="F45" i="30"/>
  <c r="E45" i="30"/>
  <c r="D45" i="30"/>
  <c r="C45" i="30"/>
  <c r="B45" i="30"/>
  <c r="A45" i="30"/>
  <c r="L44" i="30"/>
  <c r="K44" i="30"/>
  <c r="H44" i="30"/>
  <c r="G44" i="30"/>
  <c r="F44" i="30"/>
  <c r="E44" i="30"/>
  <c r="D44" i="30"/>
  <c r="C44" i="30"/>
  <c r="B44" i="30"/>
  <c r="A44" i="30"/>
  <c r="L43" i="30"/>
  <c r="K43" i="30"/>
  <c r="H43" i="30"/>
  <c r="G43" i="30"/>
  <c r="F43" i="30"/>
  <c r="E43" i="30"/>
  <c r="D43" i="30"/>
  <c r="C43" i="30"/>
  <c r="B43" i="30"/>
  <c r="A43" i="30"/>
  <c r="L42" i="30"/>
  <c r="K42" i="30"/>
  <c r="H42" i="30"/>
  <c r="G42" i="30"/>
  <c r="F42" i="30"/>
  <c r="E42" i="30"/>
  <c r="D42" i="30"/>
  <c r="C42" i="30"/>
  <c r="B42" i="30"/>
  <c r="A42" i="30"/>
  <c r="L41" i="30"/>
  <c r="K41" i="30"/>
  <c r="H41" i="30"/>
  <c r="G41" i="30"/>
  <c r="F41" i="30"/>
  <c r="E41" i="30"/>
  <c r="D41" i="30"/>
  <c r="C41" i="30"/>
  <c r="B41" i="30"/>
  <c r="A41" i="30"/>
  <c r="L40" i="30"/>
  <c r="K40" i="30"/>
  <c r="H40" i="30"/>
  <c r="G40" i="30"/>
  <c r="F40" i="30"/>
  <c r="E40" i="30"/>
  <c r="D40" i="30"/>
  <c r="C40" i="30"/>
  <c r="B40" i="30"/>
  <c r="A40" i="30"/>
  <c r="L39" i="30"/>
  <c r="K39" i="30"/>
  <c r="H39" i="30"/>
  <c r="G39" i="30"/>
  <c r="F39" i="30"/>
  <c r="E39" i="30"/>
  <c r="D39" i="30"/>
  <c r="C39" i="30"/>
  <c r="B39" i="30"/>
  <c r="A39" i="30"/>
  <c r="L38" i="30"/>
  <c r="K38" i="30"/>
  <c r="H38" i="30"/>
  <c r="G38" i="30"/>
  <c r="F38" i="30"/>
  <c r="E38" i="30"/>
  <c r="D38" i="30"/>
  <c r="C38" i="30"/>
  <c r="B38" i="30"/>
  <c r="A38" i="30"/>
  <c r="L37" i="30"/>
  <c r="K37" i="30"/>
  <c r="H37" i="30"/>
  <c r="G37" i="30"/>
  <c r="F37" i="30"/>
  <c r="E37" i="30"/>
  <c r="D37" i="30"/>
  <c r="C37" i="30"/>
  <c r="B37" i="30"/>
  <c r="A37" i="30"/>
  <c r="L36" i="30"/>
  <c r="K36" i="30"/>
  <c r="H36" i="30"/>
  <c r="G36" i="30"/>
  <c r="F36" i="30"/>
  <c r="E36" i="30"/>
  <c r="D36" i="30"/>
  <c r="C36" i="30"/>
  <c r="B36" i="30"/>
  <c r="A36" i="30"/>
  <c r="L35" i="30"/>
  <c r="K35" i="30"/>
  <c r="H35" i="30"/>
  <c r="G35" i="30"/>
  <c r="F35" i="30"/>
  <c r="E35" i="30"/>
  <c r="D35" i="30"/>
  <c r="C35" i="30"/>
  <c r="B35" i="30"/>
  <c r="A35" i="30"/>
  <c r="L34" i="30"/>
  <c r="K34" i="30"/>
  <c r="H34" i="30"/>
  <c r="G34" i="30"/>
  <c r="F34" i="30"/>
  <c r="E34" i="30"/>
  <c r="D34" i="30"/>
  <c r="C34" i="30"/>
  <c r="B34" i="30"/>
  <c r="A34" i="30"/>
  <c r="L33" i="30"/>
  <c r="K33" i="30"/>
  <c r="H33" i="30"/>
  <c r="G33" i="30"/>
  <c r="F33" i="30"/>
  <c r="E33" i="30"/>
  <c r="D33" i="30"/>
  <c r="C33" i="30"/>
  <c r="B33" i="30"/>
  <c r="A33" i="30"/>
  <c r="L32" i="30"/>
  <c r="K32" i="30"/>
  <c r="H32" i="30"/>
  <c r="G32" i="30"/>
  <c r="F32" i="30"/>
  <c r="E32" i="30"/>
  <c r="D32" i="30"/>
  <c r="C32" i="30"/>
  <c r="B32" i="30"/>
  <c r="A32" i="30"/>
  <c r="L31" i="30"/>
  <c r="K31" i="30"/>
  <c r="H31" i="30"/>
  <c r="G31" i="30"/>
  <c r="F31" i="30"/>
  <c r="E31" i="30"/>
  <c r="D31" i="30"/>
  <c r="C31" i="30"/>
  <c r="B31" i="30"/>
  <c r="A31" i="30"/>
  <c r="L30" i="30"/>
  <c r="K30" i="30"/>
  <c r="H30" i="30"/>
  <c r="G30" i="30"/>
  <c r="F30" i="30"/>
  <c r="E30" i="30"/>
  <c r="D30" i="30"/>
  <c r="C30" i="30"/>
  <c r="B30" i="30"/>
  <c r="A30" i="30"/>
  <c r="L29" i="30"/>
  <c r="K29" i="30"/>
  <c r="H29" i="30"/>
  <c r="G29" i="30"/>
  <c r="F29" i="30"/>
  <c r="E29" i="30"/>
  <c r="D29" i="30"/>
  <c r="C29" i="30"/>
  <c r="B29" i="30"/>
  <c r="A29" i="30"/>
  <c r="L28" i="30"/>
  <c r="K28" i="30"/>
  <c r="H28" i="30"/>
  <c r="G28" i="30"/>
  <c r="F28" i="30"/>
  <c r="E28" i="30"/>
  <c r="D28" i="30"/>
  <c r="C28" i="30"/>
  <c r="B28" i="30"/>
  <c r="A28" i="30"/>
  <c r="L27" i="30"/>
  <c r="K27" i="30"/>
  <c r="H27" i="30"/>
  <c r="G27" i="30"/>
  <c r="F27" i="30"/>
  <c r="E27" i="30"/>
  <c r="D27" i="30"/>
  <c r="C27" i="30"/>
  <c r="B27" i="30"/>
  <c r="A27" i="30"/>
  <c r="L26" i="30"/>
  <c r="K26" i="30"/>
  <c r="H26" i="30"/>
  <c r="G26" i="30"/>
  <c r="F26" i="30"/>
  <c r="E26" i="30"/>
  <c r="D26" i="30"/>
  <c r="C26" i="30"/>
  <c r="B26" i="30"/>
  <c r="A26" i="30"/>
  <c r="L25" i="30"/>
  <c r="K25" i="30"/>
  <c r="H25" i="30"/>
  <c r="G25" i="30"/>
  <c r="F25" i="30"/>
  <c r="E25" i="30"/>
  <c r="D25" i="30"/>
  <c r="C25" i="30"/>
  <c r="B25" i="30"/>
  <c r="A25" i="30"/>
  <c r="L24" i="30"/>
  <c r="K24" i="30"/>
  <c r="H24" i="30"/>
  <c r="G24" i="30"/>
  <c r="F24" i="30"/>
  <c r="E24" i="30"/>
  <c r="D24" i="30"/>
  <c r="C24" i="30"/>
  <c r="B24" i="30"/>
  <c r="A24" i="30"/>
  <c r="L23" i="30"/>
  <c r="K23" i="30"/>
  <c r="H23" i="30"/>
  <c r="G23" i="30"/>
  <c r="F23" i="30"/>
  <c r="E23" i="30"/>
  <c r="D23" i="30"/>
  <c r="C23" i="30"/>
  <c r="B23" i="30"/>
  <c r="A23" i="30"/>
  <c r="L22" i="30"/>
  <c r="K22" i="30"/>
  <c r="H22" i="30"/>
  <c r="G22" i="30"/>
  <c r="F22" i="30"/>
  <c r="E22" i="30"/>
  <c r="D22" i="30"/>
  <c r="C22" i="30"/>
  <c r="B22" i="30"/>
  <c r="A22" i="30"/>
  <c r="L21" i="30"/>
  <c r="K21" i="30"/>
  <c r="H21" i="30"/>
  <c r="G21" i="30"/>
  <c r="F21" i="30"/>
  <c r="E21" i="30"/>
  <c r="D21" i="30"/>
  <c r="C21" i="30"/>
  <c r="B21" i="30"/>
  <c r="A21" i="30"/>
  <c r="L20" i="30"/>
  <c r="K20" i="30"/>
  <c r="H20" i="30"/>
  <c r="G20" i="30"/>
  <c r="F20" i="30"/>
  <c r="E20" i="30"/>
  <c r="D20" i="30"/>
  <c r="C20" i="30"/>
  <c r="B20" i="30"/>
  <c r="A20" i="30"/>
  <c r="L19" i="30"/>
  <c r="K19" i="30"/>
  <c r="H19" i="30"/>
  <c r="G19" i="30"/>
  <c r="F19" i="30"/>
  <c r="E19" i="30"/>
  <c r="D19" i="30"/>
  <c r="C19" i="30"/>
  <c r="B19" i="30"/>
  <c r="A19" i="30"/>
  <c r="L18" i="30"/>
  <c r="K18" i="30"/>
  <c r="H18" i="30"/>
  <c r="G18" i="30"/>
  <c r="F18" i="30"/>
  <c r="E18" i="30"/>
  <c r="D18" i="30"/>
  <c r="C18" i="30"/>
  <c r="B18" i="30"/>
  <c r="A18" i="30"/>
  <c r="L17" i="30"/>
  <c r="K17" i="30"/>
  <c r="H17" i="30"/>
  <c r="G17" i="30"/>
  <c r="F17" i="30"/>
  <c r="E17" i="30"/>
  <c r="D17" i="30"/>
  <c r="C17" i="30"/>
  <c r="B17" i="30"/>
  <c r="A17" i="30"/>
  <c r="L16" i="30"/>
  <c r="K16" i="30"/>
  <c r="H16" i="30"/>
  <c r="G16" i="30"/>
  <c r="F16" i="30"/>
  <c r="E16" i="30"/>
  <c r="D16" i="30"/>
  <c r="C16" i="30"/>
  <c r="B16" i="30"/>
  <c r="A16" i="30"/>
  <c r="L15" i="30"/>
  <c r="K15" i="30"/>
  <c r="H15" i="30"/>
  <c r="G15" i="30"/>
  <c r="F15" i="30"/>
  <c r="E15" i="30"/>
  <c r="D15" i="30"/>
  <c r="C15" i="30"/>
  <c r="B15" i="30"/>
  <c r="A15" i="30"/>
  <c r="L14" i="30"/>
  <c r="K14" i="30"/>
  <c r="H14" i="30"/>
  <c r="G14" i="30"/>
  <c r="F14" i="30"/>
  <c r="E14" i="30"/>
  <c r="D14" i="30"/>
  <c r="C14" i="30"/>
  <c r="B14" i="30"/>
  <c r="A14" i="30"/>
  <c r="L13" i="30"/>
  <c r="K13" i="30"/>
  <c r="H13" i="30"/>
  <c r="G13" i="30"/>
  <c r="F13" i="30"/>
  <c r="E13" i="30"/>
  <c r="D13" i="30"/>
  <c r="C13" i="30"/>
  <c r="B13" i="30"/>
  <c r="A13" i="30"/>
  <c r="L12" i="30"/>
  <c r="K12" i="30"/>
  <c r="H12" i="30"/>
  <c r="G12" i="30"/>
  <c r="F12" i="30"/>
  <c r="E12" i="30"/>
  <c r="D12" i="30"/>
  <c r="C12" i="30"/>
  <c r="B12" i="30"/>
  <c r="A12" i="30"/>
  <c r="L11" i="30"/>
  <c r="K11" i="30"/>
  <c r="H11" i="30"/>
  <c r="G11" i="30"/>
  <c r="F11" i="30"/>
  <c r="E11" i="30"/>
  <c r="D11" i="30"/>
  <c r="C11" i="30"/>
  <c r="B11" i="30"/>
  <c r="A11" i="30"/>
  <c r="L10" i="30"/>
  <c r="K10" i="30"/>
  <c r="H10" i="30"/>
  <c r="G10" i="30"/>
  <c r="F10" i="30"/>
  <c r="E10" i="30"/>
  <c r="D10" i="30"/>
  <c r="C10" i="30"/>
  <c r="B10" i="30"/>
  <c r="A10" i="30"/>
  <c r="L9" i="30"/>
  <c r="K9" i="30"/>
  <c r="H9" i="30"/>
  <c r="G9" i="30"/>
  <c r="F9" i="30"/>
  <c r="E9" i="30"/>
  <c r="D9" i="30"/>
  <c r="C9" i="30"/>
  <c r="B9" i="30"/>
  <c r="A9" i="30"/>
  <c r="L8" i="30"/>
  <c r="K8" i="30"/>
  <c r="H8" i="30"/>
  <c r="G8" i="30"/>
  <c r="F8" i="30"/>
  <c r="E8" i="30"/>
  <c r="D8" i="30"/>
  <c r="C8" i="30"/>
  <c r="B8" i="30"/>
  <c r="A8" i="30"/>
  <c r="K7" i="30"/>
  <c r="H7" i="30"/>
  <c r="G7" i="30"/>
  <c r="F7" i="30"/>
  <c r="E7" i="30"/>
  <c r="D7" i="30"/>
  <c r="C7" i="30"/>
  <c r="B7" i="30"/>
  <c r="A7" i="30"/>
  <c r="J2" i="30"/>
  <c r="D38" i="1" s="1"/>
  <c r="L110" i="29"/>
  <c r="K110" i="29"/>
  <c r="H110" i="29"/>
  <c r="G110" i="29"/>
  <c r="F110" i="29"/>
  <c r="E110" i="29"/>
  <c r="D110" i="29"/>
  <c r="C110" i="29"/>
  <c r="B110" i="29"/>
  <c r="A110" i="29"/>
  <c r="L109" i="29"/>
  <c r="K109" i="29"/>
  <c r="H109" i="29"/>
  <c r="G109" i="29"/>
  <c r="F109" i="29"/>
  <c r="E109" i="29"/>
  <c r="D109" i="29"/>
  <c r="C109" i="29"/>
  <c r="B109" i="29"/>
  <c r="A109" i="29"/>
  <c r="L108" i="29"/>
  <c r="K108" i="29"/>
  <c r="H108" i="29"/>
  <c r="G108" i="29"/>
  <c r="F108" i="29"/>
  <c r="E108" i="29"/>
  <c r="D108" i="29"/>
  <c r="C108" i="29"/>
  <c r="B108" i="29"/>
  <c r="A108" i="29"/>
  <c r="L107" i="29"/>
  <c r="K107" i="29"/>
  <c r="H107" i="29"/>
  <c r="G107" i="29"/>
  <c r="F107" i="29"/>
  <c r="E107" i="29"/>
  <c r="D107" i="29"/>
  <c r="C107" i="29"/>
  <c r="B107" i="29"/>
  <c r="A107" i="29"/>
  <c r="L106" i="29"/>
  <c r="K106" i="29"/>
  <c r="H106" i="29"/>
  <c r="G106" i="29"/>
  <c r="F106" i="29"/>
  <c r="E106" i="29"/>
  <c r="D106" i="29"/>
  <c r="C106" i="29"/>
  <c r="B106" i="29"/>
  <c r="A106" i="29"/>
  <c r="L105" i="29"/>
  <c r="K105" i="29"/>
  <c r="H105" i="29"/>
  <c r="G105" i="29"/>
  <c r="F105" i="29"/>
  <c r="E105" i="29"/>
  <c r="D105" i="29"/>
  <c r="C105" i="29"/>
  <c r="B105" i="29"/>
  <c r="A105" i="29"/>
  <c r="L104" i="29"/>
  <c r="K104" i="29"/>
  <c r="H104" i="29"/>
  <c r="G104" i="29"/>
  <c r="F104" i="29"/>
  <c r="E104" i="29"/>
  <c r="D104" i="29"/>
  <c r="C104" i="29"/>
  <c r="B104" i="29"/>
  <c r="A104" i="29"/>
  <c r="L103" i="29"/>
  <c r="K103" i="29"/>
  <c r="H103" i="29"/>
  <c r="G103" i="29"/>
  <c r="F103" i="29"/>
  <c r="E103" i="29"/>
  <c r="D103" i="29"/>
  <c r="C103" i="29"/>
  <c r="B103" i="29"/>
  <c r="A103" i="29"/>
  <c r="L102" i="29"/>
  <c r="K102" i="29"/>
  <c r="H102" i="29"/>
  <c r="G102" i="29"/>
  <c r="F102" i="29"/>
  <c r="E102" i="29"/>
  <c r="D102" i="29"/>
  <c r="C102" i="29"/>
  <c r="B102" i="29"/>
  <c r="A102" i="29"/>
  <c r="L101" i="29"/>
  <c r="K101" i="29"/>
  <c r="H101" i="29"/>
  <c r="G101" i="29"/>
  <c r="F101" i="29"/>
  <c r="E101" i="29"/>
  <c r="D101" i="29"/>
  <c r="C101" i="29"/>
  <c r="B101" i="29"/>
  <c r="A101" i="29"/>
  <c r="L100" i="29"/>
  <c r="K100" i="29"/>
  <c r="H100" i="29"/>
  <c r="G100" i="29"/>
  <c r="F100" i="29"/>
  <c r="E100" i="29"/>
  <c r="D100" i="29"/>
  <c r="C100" i="29"/>
  <c r="B100" i="29"/>
  <c r="A100" i="29"/>
  <c r="L99" i="29"/>
  <c r="K99" i="29"/>
  <c r="H99" i="29"/>
  <c r="G99" i="29"/>
  <c r="F99" i="29"/>
  <c r="E99" i="29"/>
  <c r="D99" i="29"/>
  <c r="C99" i="29"/>
  <c r="B99" i="29"/>
  <c r="A99" i="29"/>
  <c r="L98" i="29"/>
  <c r="K98" i="29"/>
  <c r="H98" i="29"/>
  <c r="G98" i="29"/>
  <c r="F98" i="29"/>
  <c r="E98" i="29"/>
  <c r="D98" i="29"/>
  <c r="C98" i="29"/>
  <c r="B98" i="29"/>
  <c r="A98" i="29"/>
  <c r="L97" i="29"/>
  <c r="K97" i="29"/>
  <c r="H97" i="29"/>
  <c r="G97" i="29"/>
  <c r="F97" i="29"/>
  <c r="E97" i="29"/>
  <c r="D97" i="29"/>
  <c r="C97" i="29"/>
  <c r="B97" i="29"/>
  <c r="A97" i="29"/>
  <c r="L96" i="29"/>
  <c r="K96" i="29"/>
  <c r="H96" i="29"/>
  <c r="G96" i="29"/>
  <c r="F96" i="29"/>
  <c r="E96" i="29"/>
  <c r="D96" i="29"/>
  <c r="C96" i="29"/>
  <c r="B96" i="29"/>
  <c r="A96" i="29"/>
  <c r="L95" i="29"/>
  <c r="K95" i="29"/>
  <c r="H95" i="29"/>
  <c r="G95" i="29"/>
  <c r="F95" i="29"/>
  <c r="E95" i="29"/>
  <c r="D95" i="29"/>
  <c r="C95" i="29"/>
  <c r="B95" i="29"/>
  <c r="A95" i="29"/>
  <c r="L94" i="29"/>
  <c r="K94" i="29"/>
  <c r="H94" i="29"/>
  <c r="G94" i="29"/>
  <c r="F94" i="29"/>
  <c r="E94" i="29"/>
  <c r="D94" i="29"/>
  <c r="C94" i="29"/>
  <c r="B94" i="29"/>
  <c r="A94" i="29"/>
  <c r="L93" i="29"/>
  <c r="K93" i="29"/>
  <c r="H93" i="29"/>
  <c r="G93" i="29"/>
  <c r="F93" i="29"/>
  <c r="E93" i="29"/>
  <c r="D93" i="29"/>
  <c r="C93" i="29"/>
  <c r="B93" i="29"/>
  <c r="A93" i="29"/>
  <c r="L92" i="29"/>
  <c r="K92" i="29"/>
  <c r="H92" i="29"/>
  <c r="G92" i="29"/>
  <c r="F92" i="29"/>
  <c r="E92" i="29"/>
  <c r="D92" i="29"/>
  <c r="C92" i="29"/>
  <c r="B92" i="29"/>
  <c r="A92" i="29"/>
  <c r="L91" i="29"/>
  <c r="K91" i="29"/>
  <c r="H91" i="29"/>
  <c r="G91" i="29"/>
  <c r="F91" i="29"/>
  <c r="E91" i="29"/>
  <c r="D91" i="29"/>
  <c r="C91" i="29"/>
  <c r="B91" i="29"/>
  <c r="A91" i="29"/>
  <c r="L90" i="29"/>
  <c r="K90" i="29"/>
  <c r="H90" i="29"/>
  <c r="G90" i="29"/>
  <c r="F90" i="29"/>
  <c r="E90" i="29"/>
  <c r="D90" i="29"/>
  <c r="C90" i="29"/>
  <c r="B90" i="29"/>
  <c r="A90" i="29"/>
  <c r="L89" i="29"/>
  <c r="K89" i="29"/>
  <c r="H89" i="29"/>
  <c r="G89" i="29"/>
  <c r="F89" i="29"/>
  <c r="E89" i="29"/>
  <c r="D89" i="29"/>
  <c r="C89" i="29"/>
  <c r="B89" i="29"/>
  <c r="A89" i="29"/>
  <c r="L88" i="29"/>
  <c r="K88" i="29"/>
  <c r="H88" i="29"/>
  <c r="G88" i="29"/>
  <c r="F88" i="29"/>
  <c r="E88" i="29"/>
  <c r="D88" i="29"/>
  <c r="C88" i="29"/>
  <c r="B88" i="29"/>
  <c r="A88" i="29"/>
  <c r="L87" i="29"/>
  <c r="K87" i="29"/>
  <c r="H87" i="29"/>
  <c r="G87" i="29"/>
  <c r="F87" i="29"/>
  <c r="E87" i="29"/>
  <c r="D87" i="29"/>
  <c r="C87" i="29"/>
  <c r="B87" i="29"/>
  <c r="A87" i="29"/>
  <c r="L86" i="29"/>
  <c r="K86" i="29"/>
  <c r="H86" i="29"/>
  <c r="G86" i="29"/>
  <c r="F86" i="29"/>
  <c r="E86" i="29"/>
  <c r="D86" i="29"/>
  <c r="C86" i="29"/>
  <c r="B86" i="29"/>
  <c r="A86" i="29"/>
  <c r="L85" i="29"/>
  <c r="K85" i="29"/>
  <c r="H85" i="29"/>
  <c r="G85" i="29"/>
  <c r="F85" i="29"/>
  <c r="E85" i="29"/>
  <c r="D85" i="29"/>
  <c r="C85" i="29"/>
  <c r="B85" i="29"/>
  <c r="A85" i="29"/>
  <c r="L84" i="29"/>
  <c r="K84" i="29"/>
  <c r="H84" i="29"/>
  <c r="G84" i="29"/>
  <c r="F84" i="29"/>
  <c r="E84" i="29"/>
  <c r="D84" i="29"/>
  <c r="C84" i="29"/>
  <c r="B84" i="29"/>
  <c r="A84" i="29"/>
  <c r="L83" i="29"/>
  <c r="K83" i="29"/>
  <c r="H83" i="29"/>
  <c r="G83" i="29"/>
  <c r="F83" i="29"/>
  <c r="E83" i="29"/>
  <c r="D83" i="29"/>
  <c r="C83" i="29"/>
  <c r="B83" i="29"/>
  <c r="A83" i="29"/>
  <c r="L82" i="29"/>
  <c r="K82" i="29"/>
  <c r="H82" i="29"/>
  <c r="G82" i="29"/>
  <c r="F82" i="29"/>
  <c r="E82" i="29"/>
  <c r="D82" i="29"/>
  <c r="C82" i="29"/>
  <c r="B82" i="29"/>
  <c r="A82" i="29"/>
  <c r="L81" i="29"/>
  <c r="K81" i="29"/>
  <c r="H81" i="29"/>
  <c r="G81" i="29"/>
  <c r="F81" i="29"/>
  <c r="E81" i="29"/>
  <c r="D81" i="29"/>
  <c r="C81" i="29"/>
  <c r="B81" i="29"/>
  <c r="A81" i="29"/>
  <c r="L80" i="29"/>
  <c r="K80" i="29"/>
  <c r="H80" i="29"/>
  <c r="G80" i="29"/>
  <c r="F80" i="29"/>
  <c r="E80" i="29"/>
  <c r="D80" i="29"/>
  <c r="C80" i="29"/>
  <c r="B80" i="29"/>
  <c r="A80" i="29"/>
  <c r="L79" i="29"/>
  <c r="K79" i="29"/>
  <c r="H79" i="29"/>
  <c r="G79" i="29"/>
  <c r="F79" i="29"/>
  <c r="E79" i="29"/>
  <c r="D79" i="29"/>
  <c r="C79" i="29"/>
  <c r="B79" i="29"/>
  <c r="A79" i="29"/>
  <c r="L78" i="29"/>
  <c r="K78" i="29"/>
  <c r="H78" i="29"/>
  <c r="G78" i="29"/>
  <c r="F78" i="29"/>
  <c r="E78" i="29"/>
  <c r="D78" i="29"/>
  <c r="C78" i="29"/>
  <c r="B78" i="29"/>
  <c r="A78" i="29"/>
  <c r="L77" i="29"/>
  <c r="K77" i="29"/>
  <c r="H77" i="29"/>
  <c r="G77" i="29"/>
  <c r="F77" i="29"/>
  <c r="E77" i="29"/>
  <c r="D77" i="29"/>
  <c r="C77" i="29"/>
  <c r="B77" i="29"/>
  <c r="A77" i="29"/>
  <c r="L76" i="29"/>
  <c r="K76" i="29"/>
  <c r="H76" i="29"/>
  <c r="G76" i="29"/>
  <c r="F76" i="29"/>
  <c r="E76" i="29"/>
  <c r="D76" i="29"/>
  <c r="C76" i="29"/>
  <c r="B76" i="29"/>
  <c r="A76" i="29"/>
  <c r="L75" i="29"/>
  <c r="K75" i="29"/>
  <c r="H75" i="29"/>
  <c r="G75" i="29"/>
  <c r="F75" i="29"/>
  <c r="E75" i="29"/>
  <c r="D75" i="29"/>
  <c r="C75" i="29"/>
  <c r="B75" i="29"/>
  <c r="A75" i="29"/>
  <c r="L74" i="29"/>
  <c r="K74" i="29"/>
  <c r="H74" i="29"/>
  <c r="G74" i="29"/>
  <c r="F74" i="29"/>
  <c r="E74" i="29"/>
  <c r="D74" i="29"/>
  <c r="C74" i="29"/>
  <c r="B74" i="29"/>
  <c r="A74" i="29"/>
  <c r="L73" i="29"/>
  <c r="K73" i="29"/>
  <c r="H73" i="29"/>
  <c r="G73" i="29"/>
  <c r="F73" i="29"/>
  <c r="E73" i="29"/>
  <c r="D73" i="29"/>
  <c r="C73" i="29"/>
  <c r="B73" i="29"/>
  <c r="A73" i="29"/>
  <c r="L72" i="29"/>
  <c r="K72" i="29"/>
  <c r="H72" i="29"/>
  <c r="G72" i="29"/>
  <c r="F72" i="29"/>
  <c r="E72" i="29"/>
  <c r="D72" i="29"/>
  <c r="C72" i="29"/>
  <c r="B72" i="29"/>
  <c r="A72" i="29"/>
  <c r="L71" i="29"/>
  <c r="K71" i="29"/>
  <c r="H71" i="29"/>
  <c r="G71" i="29"/>
  <c r="F71" i="29"/>
  <c r="E71" i="29"/>
  <c r="D71" i="29"/>
  <c r="C71" i="29"/>
  <c r="B71" i="29"/>
  <c r="A71" i="29"/>
  <c r="L70" i="29"/>
  <c r="K70" i="29"/>
  <c r="H70" i="29"/>
  <c r="G70" i="29"/>
  <c r="F70" i="29"/>
  <c r="E70" i="29"/>
  <c r="D70" i="29"/>
  <c r="C70" i="29"/>
  <c r="B70" i="29"/>
  <c r="A70" i="29"/>
  <c r="L69" i="29"/>
  <c r="K69" i="29"/>
  <c r="H69" i="29"/>
  <c r="G69" i="29"/>
  <c r="F69" i="29"/>
  <c r="E69" i="29"/>
  <c r="D69" i="29"/>
  <c r="C69" i="29"/>
  <c r="B69" i="29"/>
  <c r="A69" i="29"/>
  <c r="L68" i="29"/>
  <c r="K68" i="29"/>
  <c r="H68" i="29"/>
  <c r="G68" i="29"/>
  <c r="F68" i="29"/>
  <c r="E68" i="29"/>
  <c r="D68" i="29"/>
  <c r="C68" i="29"/>
  <c r="B68" i="29"/>
  <c r="A68" i="29"/>
  <c r="L67" i="29"/>
  <c r="K67" i="29"/>
  <c r="H67" i="29"/>
  <c r="G67" i="29"/>
  <c r="F67" i="29"/>
  <c r="E67" i="29"/>
  <c r="D67" i="29"/>
  <c r="C67" i="29"/>
  <c r="B67" i="29"/>
  <c r="A67" i="29"/>
  <c r="L66" i="29"/>
  <c r="K66" i="29"/>
  <c r="H66" i="29"/>
  <c r="G66" i="29"/>
  <c r="F66" i="29"/>
  <c r="E66" i="29"/>
  <c r="D66" i="29"/>
  <c r="C66" i="29"/>
  <c r="B66" i="29"/>
  <c r="A66" i="29"/>
  <c r="L65" i="29"/>
  <c r="K65" i="29"/>
  <c r="H65" i="29"/>
  <c r="G65" i="29"/>
  <c r="F65" i="29"/>
  <c r="E65" i="29"/>
  <c r="D65" i="29"/>
  <c r="C65" i="29"/>
  <c r="B65" i="29"/>
  <c r="A65" i="29"/>
  <c r="L64" i="29"/>
  <c r="K64" i="29"/>
  <c r="H64" i="29"/>
  <c r="G64" i="29"/>
  <c r="F64" i="29"/>
  <c r="E64" i="29"/>
  <c r="D64" i="29"/>
  <c r="C64" i="29"/>
  <c r="B64" i="29"/>
  <c r="A64" i="29"/>
  <c r="L63" i="29"/>
  <c r="K63" i="29"/>
  <c r="H63" i="29"/>
  <c r="G63" i="29"/>
  <c r="F63" i="29"/>
  <c r="E63" i="29"/>
  <c r="D63" i="29"/>
  <c r="C63" i="29"/>
  <c r="B63" i="29"/>
  <c r="A63" i="29"/>
  <c r="L62" i="29"/>
  <c r="K62" i="29"/>
  <c r="H62" i="29"/>
  <c r="G62" i="29"/>
  <c r="F62" i="29"/>
  <c r="E62" i="29"/>
  <c r="D62" i="29"/>
  <c r="C62" i="29"/>
  <c r="B62" i="29"/>
  <c r="A62" i="29"/>
  <c r="L61" i="29"/>
  <c r="K61" i="29"/>
  <c r="H61" i="29"/>
  <c r="G61" i="29"/>
  <c r="F61" i="29"/>
  <c r="E61" i="29"/>
  <c r="D61" i="29"/>
  <c r="C61" i="29"/>
  <c r="B61" i="29"/>
  <c r="A61" i="29"/>
  <c r="L60" i="29"/>
  <c r="K60" i="29"/>
  <c r="H60" i="29"/>
  <c r="G60" i="29"/>
  <c r="F60" i="29"/>
  <c r="E60" i="29"/>
  <c r="D60" i="29"/>
  <c r="C60" i="29"/>
  <c r="B60" i="29"/>
  <c r="A60" i="29"/>
  <c r="L59" i="29"/>
  <c r="K59" i="29"/>
  <c r="H59" i="29"/>
  <c r="G59" i="29"/>
  <c r="F59" i="29"/>
  <c r="E59" i="29"/>
  <c r="D59" i="29"/>
  <c r="C59" i="29"/>
  <c r="B59" i="29"/>
  <c r="A59" i="29"/>
  <c r="L58" i="29"/>
  <c r="K58" i="29"/>
  <c r="H58" i="29"/>
  <c r="G58" i="29"/>
  <c r="F58" i="29"/>
  <c r="E58" i="29"/>
  <c r="D58" i="29"/>
  <c r="C58" i="29"/>
  <c r="B58" i="29"/>
  <c r="A58" i="29"/>
  <c r="L57" i="29"/>
  <c r="K57" i="29"/>
  <c r="H57" i="29"/>
  <c r="G57" i="29"/>
  <c r="F57" i="29"/>
  <c r="E57" i="29"/>
  <c r="D57" i="29"/>
  <c r="C57" i="29"/>
  <c r="B57" i="29"/>
  <c r="A57" i="29"/>
  <c r="L56" i="29"/>
  <c r="K56" i="29"/>
  <c r="H56" i="29"/>
  <c r="G56" i="29"/>
  <c r="F56" i="29"/>
  <c r="E56" i="29"/>
  <c r="D56" i="29"/>
  <c r="C56" i="29"/>
  <c r="B56" i="29"/>
  <c r="A56" i="29"/>
  <c r="L55" i="29"/>
  <c r="K55" i="29"/>
  <c r="H55" i="29"/>
  <c r="G55" i="29"/>
  <c r="F55" i="29"/>
  <c r="E55" i="29"/>
  <c r="D55" i="29"/>
  <c r="C55" i="29"/>
  <c r="B55" i="29"/>
  <c r="A55" i="29"/>
  <c r="L54" i="29"/>
  <c r="K54" i="29"/>
  <c r="H54" i="29"/>
  <c r="G54" i="29"/>
  <c r="F54" i="29"/>
  <c r="E54" i="29"/>
  <c r="D54" i="29"/>
  <c r="C54" i="29"/>
  <c r="B54" i="29"/>
  <c r="A54" i="29"/>
  <c r="L53" i="29"/>
  <c r="K53" i="29"/>
  <c r="H53" i="29"/>
  <c r="G53" i="29"/>
  <c r="F53" i="29"/>
  <c r="E53" i="29"/>
  <c r="D53" i="29"/>
  <c r="C53" i="29"/>
  <c r="B53" i="29"/>
  <c r="A53" i="29"/>
  <c r="L52" i="29"/>
  <c r="K52" i="29"/>
  <c r="H52" i="29"/>
  <c r="G52" i="29"/>
  <c r="F52" i="29"/>
  <c r="E52" i="29"/>
  <c r="D52" i="29"/>
  <c r="C52" i="29"/>
  <c r="B52" i="29"/>
  <c r="A52" i="29"/>
  <c r="L51" i="29"/>
  <c r="K51" i="29"/>
  <c r="H51" i="29"/>
  <c r="G51" i="29"/>
  <c r="F51" i="29"/>
  <c r="E51" i="29"/>
  <c r="D51" i="29"/>
  <c r="C51" i="29"/>
  <c r="B51" i="29"/>
  <c r="A51" i="29"/>
  <c r="L50" i="29"/>
  <c r="K50" i="29"/>
  <c r="H50" i="29"/>
  <c r="G50" i="29"/>
  <c r="F50" i="29"/>
  <c r="E50" i="29"/>
  <c r="D50" i="29"/>
  <c r="C50" i="29"/>
  <c r="B50" i="29"/>
  <c r="A50" i="29"/>
  <c r="L49" i="29"/>
  <c r="K49" i="29"/>
  <c r="H49" i="29"/>
  <c r="G49" i="29"/>
  <c r="F49" i="29"/>
  <c r="E49" i="29"/>
  <c r="D49" i="29"/>
  <c r="C49" i="29"/>
  <c r="B49" i="29"/>
  <c r="A49" i="29"/>
  <c r="L48" i="29"/>
  <c r="K48" i="29"/>
  <c r="H48" i="29"/>
  <c r="G48" i="29"/>
  <c r="F48" i="29"/>
  <c r="E48" i="29"/>
  <c r="D48" i="29"/>
  <c r="C48" i="29"/>
  <c r="B48" i="29"/>
  <c r="A48" i="29"/>
  <c r="L47" i="29"/>
  <c r="K47" i="29"/>
  <c r="H47" i="29"/>
  <c r="G47" i="29"/>
  <c r="F47" i="29"/>
  <c r="E47" i="29"/>
  <c r="D47" i="29"/>
  <c r="C47" i="29"/>
  <c r="B47" i="29"/>
  <c r="A47" i="29"/>
  <c r="L46" i="29"/>
  <c r="K46" i="29"/>
  <c r="H46" i="29"/>
  <c r="G46" i="29"/>
  <c r="F46" i="29"/>
  <c r="E46" i="29"/>
  <c r="D46" i="29"/>
  <c r="C46" i="29"/>
  <c r="B46" i="29"/>
  <c r="A46" i="29"/>
  <c r="L45" i="29"/>
  <c r="K45" i="29"/>
  <c r="H45" i="29"/>
  <c r="G45" i="29"/>
  <c r="F45" i="29"/>
  <c r="E45" i="29"/>
  <c r="D45" i="29"/>
  <c r="C45" i="29"/>
  <c r="B45" i="29"/>
  <c r="A45" i="29"/>
  <c r="L44" i="29"/>
  <c r="K44" i="29"/>
  <c r="H44" i="29"/>
  <c r="G44" i="29"/>
  <c r="F44" i="29"/>
  <c r="E44" i="29"/>
  <c r="D44" i="29"/>
  <c r="C44" i="29"/>
  <c r="B44" i="29"/>
  <c r="A44" i="29"/>
  <c r="L43" i="29"/>
  <c r="K43" i="29"/>
  <c r="H43" i="29"/>
  <c r="G43" i="29"/>
  <c r="F43" i="29"/>
  <c r="E43" i="29"/>
  <c r="D43" i="29"/>
  <c r="C43" i="29"/>
  <c r="B43" i="29"/>
  <c r="A43" i="29"/>
  <c r="L42" i="29"/>
  <c r="K42" i="29"/>
  <c r="H42" i="29"/>
  <c r="G42" i="29"/>
  <c r="F42" i="29"/>
  <c r="E42" i="29"/>
  <c r="D42" i="29"/>
  <c r="C42" i="29"/>
  <c r="B42" i="29"/>
  <c r="A42" i="29"/>
  <c r="L41" i="29"/>
  <c r="K41" i="29"/>
  <c r="H41" i="29"/>
  <c r="G41" i="29"/>
  <c r="F41" i="29"/>
  <c r="E41" i="29"/>
  <c r="D41" i="29"/>
  <c r="C41" i="29"/>
  <c r="B41" i="29"/>
  <c r="A41" i="29"/>
  <c r="L40" i="29"/>
  <c r="K40" i="29"/>
  <c r="H40" i="29"/>
  <c r="G40" i="29"/>
  <c r="F40" i="29"/>
  <c r="E40" i="29"/>
  <c r="D40" i="29"/>
  <c r="C40" i="29"/>
  <c r="B40" i="29"/>
  <c r="A40" i="29"/>
  <c r="L39" i="29"/>
  <c r="K39" i="29"/>
  <c r="H39" i="29"/>
  <c r="G39" i="29"/>
  <c r="F39" i="29"/>
  <c r="E39" i="29"/>
  <c r="D39" i="29"/>
  <c r="C39" i="29"/>
  <c r="B39" i="29"/>
  <c r="A39" i="29"/>
  <c r="L38" i="29"/>
  <c r="K38" i="29"/>
  <c r="H38" i="29"/>
  <c r="G38" i="29"/>
  <c r="F38" i="29"/>
  <c r="E38" i="29"/>
  <c r="D38" i="29"/>
  <c r="C38" i="29"/>
  <c r="B38" i="29"/>
  <c r="A38" i="29"/>
  <c r="L37" i="29"/>
  <c r="K37" i="29"/>
  <c r="H37" i="29"/>
  <c r="G37" i="29"/>
  <c r="F37" i="29"/>
  <c r="E37" i="29"/>
  <c r="D37" i="29"/>
  <c r="C37" i="29"/>
  <c r="B37" i="29"/>
  <c r="A37" i="29"/>
  <c r="L36" i="29"/>
  <c r="K36" i="29"/>
  <c r="H36" i="29"/>
  <c r="G36" i="29"/>
  <c r="F36" i="29"/>
  <c r="E36" i="29"/>
  <c r="D36" i="29"/>
  <c r="C36" i="29"/>
  <c r="B36" i="29"/>
  <c r="A36" i="29"/>
  <c r="L35" i="29"/>
  <c r="K35" i="29"/>
  <c r="H35" i="29"/>
  <c r="G35" i="29"/>
  <c r="F35" i="29"/>
  <c r="E35" i="29"/>
  <c r="D35" i="29"/>
  <c r="C35" i="29"/>
  <c r="B35" i="29"/>
  <c r="A35" i="29"/>
  <c r="L34" i="29"/>
  <c r="K34" i="29"/>
  <c r="H34" i="29"/>
  <c r="G34" i="29"/>
  <c r="F34" i="29"/>
  <c r="E34" i="29"/>
  <c r="D34" i="29"/>
  <c r="C34" i="29"/>
  <c r="B34" i="29"/>
  <c r="A34" i="29"/>
  <c r="L33" i="29"/>
  <c r="K33" i="29"/>
  <c r="H33" i="29"/>
  <c r="G33" i="29"/>
  <c r="F33" i="29"/>
  <c r="E33" i="29"/>
  <c r="D33" i="29"/>
  <c r="C33" i="29"/>
  <c r="B33" i="29"/>
  <c r="A33" i="29"/>
  <c r="L32" i="29"/>
  <c r="K32" i="29"/>
  <c r="H32" i="29"/>
  <c r="G32" i="29"/>
  <c r="F32" i="29"/>
  <c r="E32" i="29"/>
  <c r="D32" i="29"/>
  <c r="C32" i="29"/>
  <c r="B32" i="29"/>
  <c r="A32" i="29"/>
  <c r="L31" i="29"/>
  <c r="K31" i="29"/>
  <c r="H31" i="29"/>
  <c r="G31" i="29"/>
  <c r="F31" i="29"/>
  <c r="E31" i="29"/>
  <c r="D31" i="29"/>
  <c r="C31" i="29"/>
  <c r="B31" i="29"/>
  <c r="A31" i="29"/>
  <c r="L30" i="29"/>
  <c r="K30" i="29"/>
  <c r="H30" i="29"/>
  <c r="G30" i="29"/>
  <c r="F30" i="29"/>
  <c r="E30" i="29"/>
  <c r="D30" i="29"/>
  <c r="C30" i="29"/>
  <c r="B30" i="29"/>
  <c r="A30" i="29"/>
  <c r="L29" i="29"/>
  <c r="K29" i="29"/>
  <c r="H29" i="29"/>
  <c r="G29" i="29"/>
  <c r="F29" i="29"/>
  <c r="E29" i="29"/>
  <c r="D29" i="29"/>
  <c r="C29" i="29"/>
  <c r="B29" i="29"/>
  <c r="A29" i="29"/>
  <c r="L28" i="29"/>
  <c r="K28" i="29"/>
  <c r="H28" i="29"/>
  <c r="G28" i="29"/>
  <c r="F28" i="29"/>
  <c r="E28" i="29"/>
  <c r="D28" i="29"/>
  <c r="C28" i="29"/>
  <c r="B28" i="29"/>
  <c r="A28" i="29"/>
  <c r="L27" i="29"/>
  <c r="K27" i="29"/>
  <c r="H27" i="29"/>
  <c r="G27" i="29"/>
  <c r="F27" i="29"/>
  <c r="E27" i="29"/>
  <c r="D27" i="29"/>
  <c r="C27" i="29"/>
  <c r="B27" i="29"/>
  <c r="A27" i="29"/>
  <c r="L26" i="29"/>
  <c r="K26" i="29"/>
  <c r="H26" i="29"/>
  <c r="G26" i="29"/>
  <c r="F26" i="29"/>
  <c r="E26" i="29"/>
  <c r="D26" i="29"/>
  <c r="C26" i="29"/>
  <c r="B26" i="29"/>
  <c r="A26" i="29"/>
  <c r="L25" i="29"/>
  <c r="K25" i="29"/>
  <c r="H25" i="29"/>
  <c r="G25" i="29"/>
  <c r="F25" i="29"/>
  <c r="E25" i="29"/>
  <c r="D25" i="29"/>
  <c r="C25" i="29"/>
  <c r="B25" i="29"/>
  <c r="A25" i="29"/>
  <c r="L24" i="29"/>
  <c r="K24" i="29"/>
  <c r="H24" i="29"/>
  <c r="G24" i="29"/>
  <c r="F24" i="29"/>
  <c r="E24" i="29"/>
  <c r="D24" i="29"/>
  <c r="C24" i="29"/>
  <c r="B24" i="29"/>
  <c r="A24" i="29"/>
  <c r="L23" i="29"/>
  <c r="K23" i="29"/>
  <c r="H23" i="29"/>
  <c r="G23" i="29"/>
  <c r="F23" i="29"/>
  <c r="E23" i="29"/>
  <c r="D23" i="29"/>
  <c r="C23" i="29"/>
  <c r="B23" i="29"/>
  <c r="A23" i="29"/>
  <c r="L22" i="29"/>
  <c r="K22" i="29"/>
  <c r="H22" i="29"/>
  <c r="G22" i="29"/>
  <c r="F22" i="29"/>
  <c r="E22" i="29"/>
  <c r="D22" i="29"/>
  <c r="C22" i="29"/>
  <c r="B22" i="29"/>
  <c r="A22" i="29"/>
  <c r="L21" i="29"/>
  <c r="K21" i="29"/>
  <c r="H21" i="29"/>
  <c r="G21" i="29"/>
  <c r="F21" i="29"/>
  <c r="E21" i="29"/>
  <c r="D21" i="29"/>
  <c r="C21" i="29"/>
  <c r="B21" i="29"/>
  <c r="A21" i="29"/>
  <c r="L20" i="29"/>
  <c r="K20" i="29"/>
  <c r="H20" i="29"/>
  <c r="G20" i="29"/>
  <c r="F20" i="29"/>
  <c r="E20" i="29"/>
  <c r="D20" i="29"/>
  <c r="C20" i="29"/>
  <c r="B20" i="29"/>
  <c r="A20" i="29"/>
  <c r="L19" i="29"/>
  <c r="K19" i="29"/>
  <c r="H19" i="29"/>
  <c r="G19" i="29"/>
  <c r="F19" i="29"/>
  <c r="E19" i="29"/>
  <c r="D19" i="29"/>
  <c r="C19" i="29"/>
  <c r="B19" i="29"/>
  <c r="A19" i="29"/>
  <c r="L18" i="29"/>
  <c r="K18" i="29"/>
  <c r="H18" i="29"/>
  <c r="G18" i="29"/>
  <c r="F18" i="29"/>
  <c r="E18" i="29"/>
  <c r="D18" i="29"/>
  <c r="C18" i="29"/>
  <c r="B18" i="29"/>
  <c r="A18" i="29"/>
  <c r="L17" i="29"/>
  <c r="K17" i="29"/>
  <c r="H17" i="29"/>
  <c r="G17" i="29"/>
  <c r="F17" i="29"/>
  <c r="E17" i="29"/>
  <c r="D17" i="29"/>
  <c r="C17" i="29"/>
  <c r="B17" i="29"/>
  <c r="A17" i="29"/>
  <c r="L16" i="29"/>
  <c r="K16" i="29"/>
  <c r="H16" i="29"/>
  <c r="G16" i="29"/>
  <c r="F16" i="29"/>
  <c r="E16" i="29"/>
  <c r="D16" i="29"/>
  <c r="C16" i="29"/>
  <c r="B16" i="29"/>
  <c r="A16" i="29"/>
  <c r="L15" i="29"/>
  <c r="K15" i="29"/>
  <c r="H15" i="29"/>
  <c r="G15" i="29"/>
  <c r="F15" i="29"/>
  <c r="E15" i="29"/>
  <c r="D15" i="29"/>
  <c r="C15" i="29"/>
  <c r="B15" i="29"/>
  <c r="A15" i="29"/>
  <c r="L14" i="29"/>
  <c r="K14" i="29"/>
  <c r="H14" i="29"/>
  <c r="G14" i="29"/>
  <c r="F14" i="29"/>
  <c r="E14" i="29"/>
  <c r="D14" i="29"/>
  <c r="C14" i="29"/>
  <c r="B14" i="29"/>
  <c r="A14" i="29"/>
  <c r="L13" i="29"/>
  <c r="K13" i="29"/>
  <c r="H13" i="29"/>
  <c r="G13" i="29"/>
  <c r="F13" i="29"/>
  <c r="E13" i="29"/>
  <c r="D13" i="29"/>
  <c r="C13" i="29"/>
  <c r="B13" i="29"/>
  <c r="A13" i="29"/>
  <c r="L12" i="29"/>
  <c r="K12" i="29"/>
  <c r="H12" i="29"/>
  <c r="G12" i="29"/>
  <c r="F12" i="29"/>
  <c r="E12" i="29"/>
  <c r="D12" i="29"/>
  <c r="C12" i="29"/>
  <c r="B12" i="29"/>
  <c r="A12" i="29"/>
  <c r="L11" i="29"/>
  <c r="K11" i="29"/>
  <c r="H11" i="29"/>
  <c r="G11" i="29"/>
  <c r="F11" i="29"/>
  <c r="E11" i="29"/>
  <c r="D11" i="29"/>
  <c r="C11" i="29"/>
  <c r="B11" i="29"/>
  <c r="A11" i="29"/>
  <c r="L10" i="29"/>
  <c r="K10" i="29"/>
  <c r="H10" i="29"/>
  <c r="G10" i="29"/>
  <c r="F10" i="29"/>
  <c r="E10" i="29"/>
  <c r="D10" i="29"/>
  <c r="C10" i="29"/>
  <c r="B10" i="29"/>
  <c r="A10" i="29"/>
  <c r="L9" i="29"/>
  <c r="K9" i="29"/>
  <c r="H9" i="29"/>
  <c r="G9" i="29"/>
  <c r="F9" i="29"/>
  <c r="E9" i="29"/>
  <c r="D9" i="29"/>
  <c r="C9" i="29"/>
  <c r="B9" i="29"/>
  <c r="A9" i="29"/>
  <c r="L8" i="29"/>
  <c r="K8" i="29"/>
  <c r="H8" i="29"/>
  <c r="G8" i="29"/>
  <c r="F8" i="29"/>
  <c r="E8" i="29"/>
  <c r="D8" i="29"/>
  <c r="C8" i="29"/>
  <c r="B8" i="29"/>
  <c r="A8" i="29"/>
  <c r="K7" i="29"/>
  <c r="H7" i="29"/>
  <c r="G7" i="29"/>
  <c r="F7" i="29"/>
  <c r="E7" i="29"/>
  <c r="D7" i="29"/>
  <c r="C7" i="29"/>
  <c r="B7" i="29"/>
  <c r="A7" i="29"/>
  <c r="J2" i="29"/>
  <c r="D37" i="1" s="1"/>
  <c r="L110" i="28"/>
  <c r="K110" i="28"/>
  <c r="H110" i="28"/>
  <c r="G110" i="28"/>
  <c r="F110" i="28"/>
  <c r="E110" i="28"/>
  <c r="D110" i="28"/>
  <c r="C110" i="28"/>
  <c r="B110" i="28"/>
  <c r="A110" i="28"/>
  <c r="L109" i="28"/>
  <c r="K109" i="28"/>
  <c r="H109" i="28"/>
  <c r="G109" i="28"/>
  <c r="F109" i="28"/>
  <c r="E109" i="28"/>
  <c r="D109" i="28"/>
  <c r="C109" i="28"/>
  <c r="B109" i="28"/>
  <c r="A109" i="28"/>
  <c r="L108" i="28"/>
  <c r="K108" i="28"/>
  <c r="H108" i="28"/>
  <c r="G108" i="28"/>
  <c r="F108" i="28"/>
  <c r="E108" i="28"/>
  <c r="D108" i="28"/>
  <c r="C108" i="28"/>
  <c r="B108" i="28"/>
  <c r="A108" i="28"/>
  <c r="L107" i="28"/>
  <c r="K107" i="28"/>
  <c r="H107" i="28"/>
  <c r="G107" i="28"/>
  <c r="F107" i="28"/>
  <c r="E107" i="28"/>
  <c r="D107" i="28"/>
  <c r="C107" i="28"/>
  <c r="B107" i="28"/>
  <c r="A107" i="28"/>
  <c r="L106" i="28"/>
  <c r="K106" i="28"/>
  <c r="H106" i="28"/>
  <c r="G106" i="28"/>
  <c r="F106" i="28"/>
  <c r="E106" i="28"/>
  <c r="D106" i="28"/>
  <c r="C106" i="28"/>
  <c r="B106" i="28"/>
  <c r="A106" i="28"/>
  <c r="L105" i="28"/>
  <c r="K105" i="28"/>
  <c r="H105" i="28"/>
  <c r="G105" i="28"/>
  <c r="F105" i="28"/>
  <c r="E105" i="28"/>
  <c r="D105" i="28"/>
  <c r="C105" i="28"/>
  <c r="B105" i="28"/>
  <c r="A105" i="28"/>
  <c r="L104" i="28"/>
  <c r="K104" i="28"/>
  <c r="H104" i="28"/>
  <c r="G104" i="28"/>
  <c r="F104" i="28"/>
  <c r="E104" i="28"/>
  <c r="D104" i="28"/>
  <c r="C104" i="28"/>
  <c r="B104" i="28"/>
  <c r="A104" i="28"/>
  <c r="L103" i="28"/>
  <c r="K103" i="28"/>
  <c r="H103" i="28"/>
  <c r="G103" i="28"/>
  <c r="F103" i="28"/>
  <c r="E103" i="28"/>
  <c r="D103" i="28"/>
  <c r="C103" i="28"/>
  <c r="B103" i="28"/>
  <c r="A103" i="28"/>
  <c r="L102" i="28"/>
  <c r="K102" i="28"/>
  <c r="H102" i="28"/>
  <c r="G102" i="28"/>
  <c r="F102" i="28"/>
  <c r="E102" i="28"/>
  <c r="D102" i="28"/>
  <c r="C102" i="28"/>
  <c r="B102" i="28"/>
  <c r="A102" i="28"/>
  <c r="L101" i="28"/>
  <c r="K101" i="28"/>
  <c r="H101" i="28"/>
  <c r="G101" i="28"/>
  <c r="F101" i="28"/>
  <c r="E101" i="28"/>
  <c r="D101" i="28"/>
  <c r="C101" i="28"/>
  <c r="B101" i="28"/>
  <c r="A101" i="28"/>
  <c r="L100" i="28"/>
  <c r="K100" i="28"/>
  <c r="H100" i="28"/>
  <c r="G100" i="28"/>
  <c r="F100" i="28"/>
  <c r="E100" i="28"/>
  <c r="D100" i="28"/>
  <c r="C100" i="28"/>
  <c r="B100" i="28"/>
  <c r="A100" i="28"/>
  <c r="L99" i="28"/>
  <c r="K99" i="28"/>
  <c r="H99" i="28"/>
  <c r="G99" i="28"/>
  <c r="F99" i="28"/>
  <c r="E99" i="28"/>
  <c r="D99" i="28"/>
  <c r="C99" i="28"/>
  <c r="B99" i="28"/>
  <c r="A99" i="28"/>
  <c r="L98" i="28"/>
  <c r="K98" i="28"/>
  <c r="H98" i="28"/>
  <c r="G98" i="28"/>
  <c r="F98" i="28"/>
  <c r="E98" i="28"/>
  <c r="D98" i="28"/>
  <c r="C98" i="28"/>
  <c r="B98" i="28"/>
  <c r="A98" i="28"/>
  <c r="L97" i="28"/>
  <c r="K97" i="28"/>
  <c r="H97" i="28"/>
  <c r="G97" i="28"/>
  <c r="F97" i="28"/>
  <c r="E97" i="28"/>
  <c r="D97" i="28"/>
  <c r="C97" i="28"/>
  <c r="B97" i="28"/>
  <c r="A97" i="28"/>
  <c r="L96" i="28"/>
  <c r="K96" i="28"/>
  <c r="H96" i="28"/>
  <c r="G96" i="28"/>
  <c r="F96" i="28"/>
  <c r="E96" i="28"/>
  <c r="D96" i="28"/>
  <c r="C96" i="28"/>
  <c r="B96" i="28"/>
  <c r="A96" i="28"/>
  <c r="L95" i="28"/>
  <c r="K95" i="28"/>
  <c r="H95" i="28"/>
  <c r="G95" i="28"/>
  <c r="F95" i="28"/>
  <c r="E95" i="28"/>
  <c r="D95" i="28"/>
  <c r="C95" i="28"/>
  <c r="B95" i="28"/>
  <c r="A95" i="28"/>
  <c r="L94" i="28"/>
  <c r="K94" i="28"/>
  <c r="H94" i="28"/>
  <c r="G94" i="28"/>
  <c r="F94" i="28"/>
  <c r="E94" i="28"/>
  <c r="D94" i="28"/>
  <c r="C94" i="28"/>
  <c r="B94" i="28"/>
  <c r="A94" i="28"/>
  <c r="L93" i="28"/>
  <c r="K93" i="28"/>
  <c r="H93" i="28"/>
  <c r="G93" i="28"/>
  <c r="F93" i="28"/>
  <c r="E93" i="28"/>
  <c r="D93" i="28"/>
  <c r="C93" i="28"/>
  <c r="B93" i="28"/>
  <c r="A93" i="28"/>
  <c r="L92" i="28"/>
  <c r="K92" i="28"/>
  <c r="H92" i="28"/>
  <c r="G92" i="28"/>
  <c r="F92" i="28"/>
  <c r="E92" i="28"/>
  <c r="D92" i="28"/>
  <c r="C92" i="28"/>
  <c r="B92" i="28"/>
  <c r="A92" i="28"/>
  <c r="L91" i="28"/>
  <c r="K91" i="28"/>
  <c r="H91" i="28"/>
  <c r="G91" i="28"/>
  <c r="F91" i="28"/>
  <c r="E91" i="28"/>
  <c r="D91" i="28"/>
  <c r="C91" i="28"/>
  <c r="B91" i="28"/>
  <c r="A91" i="28"/>
  <c r="L90" i="28"/>
  <c r="K90" i="28"/>
  <c r="H90" i="28"/>
  <c r="G90" i="28"/>
  <c r="F90" i="28"/>
  <c r="E90" i="28"/>
  <c r="D90" i="28"/>
  <c r="C90" i="28"/>
  <c r="B90" i="28"/>
  <c r="A90" i="28"/>
  <c r="L89" i="28"/>
  <c r="K89" i="28"/>
  <c r="H89" i="28"/>
  <c r="G89" i="28"/>
  <c r="F89" i="28"/>
  <c r="E89" i="28"/>
  <c r="D89" i="28"/>
  <c r="C89" i="28"/>
  <c r="B89" i="28"/>
  <c r="A89" i="28"/>
  <c r="L88" i="28"/>
  <c r="K88" i="28"/>
  <c r="H88" i="28"/>
  <c r="G88" i="28"/>
  <c r="F88" i="28"/>
  <c r="E88" i="28"/>
  <c r="D88" i="28"/>
  <c r="C88" i="28"/>
  <c r="B88" i="28"/>
  <c r="A88" i="28"/>
  <c r="L87" i="28"/>
  <c r="K87" i="28"/>
  <c r="H87" i="28"/>
  <c r="G87" i="28"/>
  <c r="F87" i="28"/>
  <c r="E87" i="28"/>
  <c r="D87" i="28"/>
  <c r="C87" i="28"/>
  <c r="B87" i="28"/>
  <c r="A87" i="28"/>
  <c r="L86" i="28"/>
  <c r="K86" i="28"/>
  <c r="H86" i="28"/>
  <c r="G86" i="28"/>
  <c r="F86" i="28"/>
  <c r="E86" i="28"/>
  <c r="D86" i="28"/>
  <c r="C86" i="28"/>
  <c r="B86" i="28"/>
  <c r="A86" i="28"/>
  <c r="L85" i="28"/>
  <c r="K85" i="28"/>
  <c r="H85" i="28"/>
  <c r="G85" i="28"/>
  <c r="F85" i="28"/>
  <c r="E85" i="28"/>
  <c r="D85" i="28"/>
  <c r="C85" i="28"/>
  <c r="B85" i="28"/>
  <c r="A85" i="28"/>
  <c r="L84" i="28"/>
  <c r="K84" i="28"/>
  <c r="H84" i="28"/>
  <c r="G84" i="28"/>
  <c r="F84" i="28"/>
  <c r="E84" i="28"/>
  <c r="D84" i="28"/>
  <c r="C84" i="28"/>
  <c r="B84" i="28"/>
  <c r="A84" i="28"/>
  <c r="L83" i="28"/>
  <c r="K83" i="28"/>
  <c r="H83" i="28"/>
  <c r="G83" i="28"/>
  <c r="F83" i="28"/>
  <c r="E83" i="28"/>
  <c r="D83" i="28"/>
  <c r="C83" i="28"/>
  <c r="B83" i="28"/>
  <c r="A83" i="28"/>
  <c r="L82" i="28"/>
  <c r="K82" i="28"/>
  <c r="H82" i="28"/>
  <c r="G82" i="28"/>
  <c r="F82" i="28"/>
  <c r="E82" i="28"/>
  <c r="D82" i="28"/>
  <c r="C82" i="28"/>
  <c r="B82" i="28"/>
  <c r="A82" i="28"/>
  <c r="L81" i="28"/>
  <c r="K81" i="28"/>
  <c r="H81" i="28"/>
  <c r="G81" i="28"/>
  <c r="F81" i="28"/>
  <c r="E81" i="28"/>
  <c r="D81" i="28"/>
  <c r="C81" i="28"/>
  <c r="B81" i="28"/>
  <c r="A81" i="28"/>
  <c r="L80" i="28"/>
  <c r="K80" i="28"/>
  <c r="H80" i="28"/>
  <c r="G80" i="28"/>
  <c r="F80" i="28"/>
  <c r="E80" i="28"/>
  <c r="D80" i="28"/>
  <c r="C80" i="28"/>
  <c r="B80" i="28"/>
  <c r="A80" i="28"/>
  <c r="L79" i="28"/>
  <c r="K79" i="28"/>
  <c r="H79" i="28"/>
  <c r="G79" i="28"/>
  <c r="F79" i="28"/>
  <c r="E79" i="28"/>
  <c r="D79" i="28"/>
  <c r="C79" i="28"/>
  <c r="B79" i="28"/>
  <c r="A79" i="28"/>
  <c r="L78" i="28"/>
  <c r="K78" i="28"/>
  <c r="H78" i="28"/>
  <c r="G78" i="28"/>
  <c r="F78" i="28"/>
  <c r="E78" i="28"/>
  <c r="D78" i="28"/>
  <c r="C78" i="28"/>
  <c r="B78" i="28"/>
  <c r="A78" i="28"/>
  <c r="L77" i="28"/>
  <c r="K77" i="28"/>
  <c r="H77" i="28"/>
  <c r="G77" i="28"/>
  <c r="F77" i="28"/>
  <c r="E77" i="28"/>
  <c r="D77" i="28"/>
  <c r="C77" i="28"/>
  <c r="B77" i="28"/>
  <c r="A77" i="28"/>
  <c r="L76" i="28"/>
  <c r="K76" i="28"/>
  <c r="H76" i="28"/>
  <c r="G76" i="28"/>
  <c r="F76" i="28"/>
  <c r="E76" i="28"/>
  <c r="D76" i="28"/>
  <c r="C76" i="28"/>
  <c r="B76" i="28"/>
  <c r="A76" i="28"/>
  <c r="L75" i="28"/>
  <c r="K75" i="28"/>
  <c r="H75" i="28"/>
  <c r="G75" i="28"/>
  <c r="F75" i="28"/>
  <c r="E75" i="28"/>
  <c r="D75" i="28"/>
  <c r="C75" i="28"/>
  <c r="B75" i="28"/>
  <c r="A75" i="28"/>
  <c r="L74" i="28"/>
  <c r="K74" i="28"/>
  <c r="H74" i="28"/>
  <c r="G74" i="28"/>
  <c r="F74" i="28"/>
  <c r="E74" i="28"/>
  <c r="D74" i="28"/>
  <c r="C74" i="28"/>
  <c r="B74" i="28"/>
  <c r="A74" i="28"/>
  <c r="L73" i="28"/>
  <c r="K73" i="28"/>
  <c r="H73" i="28"/>
  <c r="G73" i="28"/>
  <c r="F73" i="28"/>
  <c r="E73" i="28"/>
  <c r="D73" i="28"/>
  <c r="C73" i="28"/>
  <c r="B73" i="28"/>
  <c r="A73" i="28"/>
  <c r="L72" i="28"/>
  <c r="K72" i="28"/>
  <c r="H72" i="28"/>
  <c r="G72" i="28"/>
  <c r="F72" i="28"/>
  <c r="E72" i="28"/>
  <c r="D72" i="28"/>
  <c r="C72" i="28"/>
  <c r="B72" i="28"/>
  <c r="A72" i="28"/>
  <c r="L71" i="28"/>
  <c r="K71" i="28"/>
  <c r="H71" i="28"/>
  <c r="G71" i="28"/>
  <c r="F71" i="28"/>
  <c r="E71" i="28"/>
  <c r="D71" i="28"/>
  <c r="C71" i="28"/>
  <c r="B71" i="28"/>
  <c r="A71" i="28"/>
  <c r="L70" i="28"/>
  <c r="K70" i="28"/>
  <c r="H70" i="28"/>
  <c r="G70" i="28"/>
  <c r="F70" i="28"/>
  <c r="E70" i="28"/>
  <c r="D70" i="28"/>
  <c r="C70" i="28"/>
  <c r="B70" i="28"/>
  <c r="A70" i="28"/>
  <c r="L69" i="28"/>
  <c r="K69" i="28"/>
  <c r="H69" i="28"/>
  <c r="G69" i="28"/>
  <c r="F69" i="28"/>
  <c r="E69" i="28"/>
  <c r="D69" i="28"/>
  <c r="C69" i="28"/>
  <c r="B69" i="28"/>
  <c r="A69" i="28"/>
  <c r="L68" i="28"/>
  <c r="K68" i="28"/>
  <c r="H68" i="28"/>
  <c r="G68" i="28"/>
  <c r="F68" i="28"/>
  <c r="E68" i="28"/>
  <c r="D68" i="28"/>
  <c r="C68" i="28"/>
  <c r="B68" i="28"/>
  <c r="A68" i="28"/>
  <c r="L67" i="28"/>
  <c r="K67" i="28"/>
  <c r="H67" i="28"/>
  <c r="G67" i="28"/>
  <c r="F67" i="28"/>
  <c r="E67" i="28"/>
  <c r="D67" i="28"/>
  <c r="C67" i="28"/>
  <c r="B67" i="28"/>
  <c r="A67" i="28"/>
  <c r="L66" i="28"/>
  <c r="K66" i="28"/>
  <c r="H66" i="28"/>
  <c r="G66" i="28"/>
  <c r="F66" i="28"/>
  <c r="E66" i="28"/>
  <c r="D66" i="28"/>
  <c r="C66" i="28"/>
  <c r="B66" i="28"/>
  <c r="A66" i="28"/>
  <c r="L65" i="28"/>
  <c r="K65" i="28"/>
  <c r="H65" i="28"/>
  <c r="G65" i="28"/>
  <c r="F65" i="28"/>
  <c r="E65" i="28"/>
  <c r="D65" i="28"/>
  <c r="C65" i="28"/>
  <c r="B65" i="28"/>
  <c r="A65" i="28"/>
  <c r="L64" i="28"/>
  <c r="K64" i="28"/>
  <c r="H64" i="28"/>
  <c r="G64" i="28"/>
  <c r="F64" i="28"/>
  <c r="E64" i="28"/>
  <c r="D64" i="28"/>
  <c r="C64" i="28"/>
  <c r="B64" i="28"/>
  <c r="A64" i="28"/>
  <c r="L63" i="28"/>
  <c r="K63" i="28"/>
  <c r="H63" i="28"/>
  <c r="G63" i="28"/>
  <c r="F63" i="28"/>
  <c r="E63" i="28"/>
  <c r="D63" i="28"/>
  <c r="C63" i="28"/>
  <c r="B63" i="28"/>
  <c r="A63" i="28"/>
  <c r="L62" i="28"/>
  <c r="K62" i="28"/>
  <c r="H62" i="28"/>
  <c r="G62" i="28"/>
  <c r="F62" i="28"/>
  <c r="E62" i="28"/>
  <c r="D62" i="28"/>
  <c r="C62" i="28"/>
  <c r="B62" i="28"/>
  <c r="A62" i="28"/>
  <c r="L61" i="28"/>
  <c r="K61" i="28"/>
  <c r="H61" i="28"/>
  <c r="G61" i="28"/>
  <c r="F61" i="28"/>
  <c r="E61" i="28"/>
  <c r="D61" i="28"/>
  <c r="C61" i="28"/>
  <c r="B61" i="28"/>
  <c r="A61" i="28"/>
  <c r="L60" i="28"/>
  <c r="K60" i="28"/>
  <c r="H60" i="28"/>
  <c r="G60" i="28"/>
  <c r="F60" i="28"/>
  <c r="E60" i="28"/>
  <c r="D60" i="28"/>
  <c r="C60" i="28"/>
  <c r="B60" i="28"/>
  <c r="A60" i="28"/>
  <c r="L59" i="28"/>
  <c r="K59" i="28"/>
  <c r="H59" i="28"/>
  <c r="G59" i="28"/>
  <c r="F59" i="28"/>
  <c r="E59" i="28"/>
  <c r="D59" i="28"/>
  <c r="C59" i="28"/>
  <c r="B59" i="28"/>
  <c r="A59" i="28"/>
  <c r="L58" i="28"/>
  <c r="K58" i="28"/>
  <c r="H58" i="28"/>
  <c r="G58" i="28"/>
  <c r="F58" i="28"/>
  <c r="E58" i="28"/>
  <c r="D58" i="28"/>
  <c r="C58" i="28"/>
  <c r="B58" i="28"/>
  <c r="A58" i="28"/>
  <c r="L57" i="28"/>
  <c r="K57" i="28"/>
  <c r="H57" i="28"/>
  <c r="G57" i="28"/>
  <c r="F57" i="28"/>
  <c r="E57" i="28"/>
  <c r="D57" i="28"/>
  <c r="C57" i="28"/>
  <c r="B57" i="28"/>
  <c r="A57" i="28"/>
  <c r="L56" i="28"/>
  <c r="K56" i="28"/>
  <c r="H56" i="28"/>
  <c r="G56" i="28"/>
  <c r="F56" i="28"/>
  <c r="E56" i="28"/>
  <c r="D56" i="28"/>
  <c r="C56" i="28"/>
  <c r="B56" i="28"/>
  <c r="A56" i="28"/>
  <c r="L55" i="28"/>
  <c r="K55" i="28"/>
  <c r="H55" i="28"/>
  <c r="G55" i="28"/>
  <c r="F55" i="28"/>
  <c r="E55" i="28"/>
  <c r="D55" i="28"/>
  <c r="C55" i="28"/>
  <c r="B55" i="28"/>
  <c r="A55" i="28"/>
  <c r="L54" i="28"/>
  <c r="K54" i="28"/>
  <c r="H54" i="28"/>
  <c r="G54" i="28"/>
  <c r="F54" i="28"/>
  <c r="E54" i="28"/>
  <c r="D54" i="28"/>
  <c r="C54" i="28"/>
  <c r="B54" i="28"/>
  <c r="A54" i="28"/>
  <c r="L53" i="28"/>
  <c r="K53" i="28"/>
  <c r="H53" i="28"/>
  <c r="G53" i="28"/>
  <c r="F53" i="28"/>
  <c r="E53" i="28"/>
  <c r="D53" i="28"/>
  <c r="C53" i="28"/>
  <c r="B53" i="28"/>
  <c r="A53" i="28"/>
  <c r="L52" i="28"/>
  <c r="K52" i="28"/>
  <c r="H52" i="28"/>
  <c r="G52" i="28"/>
  <c r="F52" i="28"/>
  <c r="E52" i="28"/>
  <c r="D52" i="28"/>
  <c r="C52" i="28"/>
  <c r="B52" i="28"/>
  <c r="A52" i="28"/>
  <c r="L51" i="28"/>
  <c r="K51" i="28"/>
  <c r="H51" i="28"/>
  <c r="G51" i="28"/>
  <c r="F51" i="28"/>
  <c r="E51" i="28"/>
  <c r="D51" i="28"/>
  <c r="C51" i="28"/>
  <c r="B51" i="28"/>
  <c r="A51" i="28"/>
  <c r="L50" i="28"/>
  <c r="K50" i="28"/>
  <c r="H50" i="28"/>
  <c r="G50" i="28"/>
  <c r="F50" i="28"/>
  <c r="E50" i="28"/>
  <c r="D50" i="28"/>
  <c r="C50" i="28"/>
  <c r="B50" i="28"/>
  <c r="A50" i="28"/>
  <c r="L49" i="28"/>
  <c r="K49" i="28"/>
  <c r="H49" i="28"/>
  <c r="G49" i="28"/>
  <c r="F49" i="28"/>
  <c r="E49" i="28"/>
  <c r="D49" i="28"/>
  <c r="C49" i="28"/>
  <c r="B49" i="28"/>
  <c r="A49" i="28"/>
  <c r="L48" i="28"/>
  <c r="K48" i="28"/>
  <c r="H48" i="28"/>
  <c r="G48" i="28"/>
  <c r="F48" i="28"/>
  <c r="E48" i="28"/>
  <c r="D48" i="28"/>
  <c r="C48" i="28"/>
  <c r="B48" i="28"/>
  <c r="A48" i="28"/>
  <c r="L47" i="28"/>
  <c r="K47" i="28"/>
  <c r="H47" i="28"/>
  <c r="G47" i="28"/>
  <c r="F47" i="28"/>
  <c r="E47" i="28"/>
  <c r="D47" i="28"/>
  <c r="C47" i="28"/>
  <c r="B47" i="28"/>
  <c r="A47" i="28"/>
  <c r="L46" i="28"/>
  <c r="K46" i="28"/>
  <c r="H46" i="28"/>
  <c r="G46" i="28"/>
  <c r="F46" i="28"/>
  <c r="E46" i="28"/>
  <c r="D46" i="28"/>
  <c r="C46" i="28"/>
  <c r="B46" i="28"/>
  <c r="A46" i="28"/>
  <c r="L45" i="28"/>
  <c r="K45" i="28"/>
  <c r="H45" i="28"/>
  <c r="G45" i="28"/>
  <c r="F45" i="28"/>
  <c r="E45" i="28"/>
  <c r="D45" i="28"/>
  <c r="C45" i="28"/>
  <c r="B45" i="28"/>
  <c r="A45" i="28"/>
  <c r="L44" i="28"/>
  <c r="K44" i="28"/>
  <c r="H44" i="28"/>
  <c r="G44" i="28"/>
  <c r="F44" i="28"/>
  <c r="E44" i="28"/>
  <c r="D44" i="28"/>
  <c r="C44" i="28"/>
  <c r="B44" i="28"/>
  <c r="A44" i="28"/>
  <c r="L43" i="28"/>
  <c r="K43" i="28"/>
  <c r="H43" i="28"/>
  <c r="G43" i="28"/>
  <c r="F43" i="28"/>
  <c r="E43" i="28"/>
  <c r="D43" i="28"/>
  <c r="C43" i="28"/>
  <c r="B43" i="28"/>
  <c r="A43" i="28"/>
  <c r="L42" i="28"/>
  <c r="K42" i="28"/>
  <c r="H42" i="28"/>
  <c r="G42" i="28"/>
  <c r="F42" i="28"/>
  <c r="E42" i="28"/>
  <c r="D42" i="28"/>
  <c r="C42" i="28"/>
  <c r="B42" i="28"/>
  <c r="A42" i="28"/>
  <c r="L41" i="28"/>
  <c r="K41" i="28"/>
  <c r="H41" i="28"/>
  <c r="G41" i="28"/>
  <c r="F41" i="28"/>
  <c r="E41" i="28"/>
  <c r="D41" i="28"/>
  <c r="C41" i="28"/>
  <c r="B41" i="28"/>
  <c r="A41" i="28"/>
  <c r="L40" i="28"/>
  <c r="K40" i="28"/>
  <c r="H40" i="28"/>
  <c r="G40" i="28"/>
  <c r="F40" i="28"/>
  <c r="E40" i="28"/>
  <c r="D40" i="28"/>
  <c r="C40" i="28"/>
  <c r="B40" i="28"/>
  <c r="A40" i="28"/>
  <c r="L39" i="28"/>
  <c r="K39" i="28"/>
  <c r="H39" i="28"/>
  <c r="G39" i="28"/>
  <c r="F39" i="28"/>
  <c r="E39" i="28"/>
  <c r="D39" i="28"/>
  <c r="C39" i="28"/>
  <c r="B39" i="28"/>
  <c r="A39" i="28"/>
  <c r="L38" i="28"/>
  <c r="K38" i="28"/>
  <c r="H38" i="28"/>
  <c r="G38" i="28"/>
  <c r="F38" i="28"/>
  <c r="E38" i="28"/>
  <c r="D38" i="28"/>
  <c r="C38" i="28"/>
  <c r="B38" i="28"/>
  <c r="A38" i="28"/>
  <c r="L37" i="28"/>
  <c r="K37" i="28"/>
  <c r="H37" i="28"/>
  <c r="G37" i="28"/>
  <c r="F37" i="28"/>
  <c r="E37" i="28"/>
  <c r="D37" i="28"/>
  <c r="C37" i="28"/>
  <c r="B37" i="28"/>
  <c r="A37" i="28"/>
  <c r="L36" i="28"/>
  <c r="K36" i="28"/>
  <c r="H36" i="28"/>
  <c r="G36" i="28"/>
  <c r="F36" i="28"/>
  <c r="E36" i="28"/>
  <c r="D36" i="28"/>
  <c r="C36" i="28"/>
  <c r="B36" i="28"/>
  <c r="A36" i="28"/>
  <c r="L35" i="28"/>
  <c r="K35" i="28"/>
  <c r="H35" i="28"/>
  <c r="G35" i="28"/>
  <c r="F35" i="28"/>
  <c r="E35" i="28"/>
  <c r="D35" i="28"/>
  <c r="C35" i="28"/>
  <c r="B35" i="28"/>
  <c r="A35" i="28"/>
  <c r="L34" i="28"/>
  <c r="K34" i="28"/>
  <c r="H34" i="28"/>
  <c r="G34" i="28"/>
  <c r="F34" i="28"/>
  <c r="E34" i="28"/>
  <c r="D34" i="28"/>
  <c r="C34" i="28"/>
  <c r="B34" i="28"/>
  <c r="A34" i="28"/>
  <c r="L33" i="28"/>
  <c r="K33" i="28"/>
  <c r="H33" i="28"/>
  <c r="G33" i="28"/>
  <c r="F33" i="28"/>
  <c r="E33" i="28"/>
  <c r="D33" i="28"/>
  <c r="C33" i="28"/>
  <c r="B33" i="28"/>
  <c r="A33" i="28"/>
  <c r="L32" i="28"/>
  <c r="K32" i="28"/>
  <c r="H32" i="28"/>
  <c r="G32" i="28"/>
  <c r="F32" i="28"/>
  <c r="E32" i="28"/>
  <c r="D32" i="28"/>
  <c r="C32" i="28"/>
  <c r="B32" i="28"/>
  <c r="A32" i="28"/>
  <c r="L31" i="28"/>
  <c r="K31" i="28"/>
  <c r="H31" i="28"/>
  <c r="G31" i="28"/>
  <c r="F31" i="28"/>
  <c r="E31" i="28"/>
  <c r="D31" i="28"/>
  <c r="C31" i="28"/>
  <c r="B31" i="28"/>
  <c r="A31" i="28"/>
  <c r="L30" i="28"/>
  <c r="K30" i="28"/>
  <c r="H30" i="28"/>
  <c r="G30" i="28"/>
  <c r="F30" i="28"/>
  <c r="E30" i="28"/>
  <c r="D30" i="28"/>
  <c r="C30" i="28"/>
  <c r="B30" i="28"/>
  <c r="A30" i="28"/>
  <c r="L29" i="28"/>
  <c r="K29" i="28"/>
  <c r="H29" i="28"/>
  <c r="G29" i="28"/>
  <c r="F29" i="28"/>
  <c r="E29" i="28"/>
  <c r="D29" i="28"/>
  <c r="C29" i="28"/>
  <c r="B29" i="28"/>
  <c r="A29" i="28"/>
  <c r="L28" i="28"/>
  <c r="K28" i="28"/>
  <c r="H28" i="28"/>
  <c r="G28" i="28"/>
  <c r="F28" i="28"/>
  <c r="E28" i="28"/>
  <c r="D28" i="28"/>
  <c r="C28" i="28"/>
  <c r="B28" i="28"/>
  <c r="A28" i="28"/>
  <c r="L27" i="28"/>
  <c r="K27" i="28"/>
  <c r="H27" i="28"/>
  <c r="G27" i="28"/>
  <c r="F27" i="28"/>
  <c r="E27" i="28"/>
  <c r="D27" i="28"/>
  <c r="C27" i="28"/>
  <c r="B27" i="28"/>
  <c r="A27" i="28"/>
  <c r="L26" i="28"/>
  <c r="K26" i="28"/>
  <c r="H26" i="28"/>
  <c r="G26" i="28"/>
  <c r="F26" i="28"/>
  <c r="E26" i="28"/>
  <c r="D26" i="28"/>
  <c r="C26" i="28"/>
  <c r="B26" i="28"/>
  <c r="A26" i="28"/>
  <c r="L25" i="28"/>
  <c r="K25" i="28"/>
  <c r="H25" i="28"/>
  <c r="G25" i="28"/>
  <c r="F25" i="28"/>
  <c r="E25" i="28"/>
  <c r="D25" i="28"/>
  <c r="C25" i="28"/>
  <c r="B25" i="28"/>
  <c r="A25" i="28"/>
  <c r="L24" i="28"/>
  <c r="K24" i="28"/>
  <c r="H24" i="28"/>
  <c r="G24" i="28"/>
  <c r="F24" i="28"/>
  <c r="E24" i="28"/>
  <c r="D24" i="28"/>
  <c r="C24" i="28"/>
  <c r="B24" i="28"/>
  <c r="A24" i="28"/>
  <c r="L23" i="28"/>
  <c r="K23" i="28"/>
  <c r="H23" i="28"/>
  <c r="G23" i="28"/>
  <c r="F23" i="28"/>
  <c r="E23" i="28"/>
  <c r="D23" i="28"/>
  <c r="C23" i="28"/>
  <c r="B23" i="28"/>
  <c r="A23" i="28"/>
  <c r="L22" i="28"/>
  <c r="K22" i="28"/>
  <c r="H22" i="28"/>
  <c r="G22" i="28"/>
  <c r="F22" i="28"/>
  <c r="E22" i="28"/>
  <c r="D22" i="28"/>
  <c r="C22" i="28"/>
  <c r="B22" i="28"/>
  <c r="A22" i="28"/>
  <c r="L21" i="28"/>
  <c r="K21" i="28"/>
  <c r="H21" i="28"/>
  <c r="G21" i="28"/>
  <c r="F21" i="28"/>
  <c r="E21" i="28"/>
  <c r="D21" i="28"/>
  <c r="C21" i="28"/>
  <c r="B21" i="28"/>
  <c r="A21" i="28"/>
  <c r="L20" i="28"/>
  <c r="K20" i="28"/>
  <c r="H20" i="28"/>
  <c r="G20" i="28"/>
  <c r="F20" i="28"/>
  <c r="E20" i="28"/>
  <c r="D20" i="28"/>
  <c r="C20" i="28"/>
  <c r="B20" i="28"/>
  <c r="A20" i="28"/>
  <c r="L19" i="28"/>
  <c r="K19" i="28"/>
  <c r="H19" i="28"/>
  <c r="G19" i="28"/>
  <c r="F19" i="28"/>
  <c r="E19" i="28"/>
  <c r="D19" i="28"/>
  <c r="C19" i="28"/>
  <c r="B19" i="28"/>
  <c r="A19" i="28"/>
  <c r="L18" i="28"/>
  <c r="K18" i="28"/>
  <c r="H18" i="28"/>
  <c r="G18" i="28"/>
  <c r="F18" i="28"/>
  <c r="E18" i="28"/>
  <c r="D18" i="28"/>
  <c r="C18" i="28"/>
  <c r="B18" i="28"/>
  <c r="A18" i="28"/>
  <c r="L17" i="28"/>
  <c r="K17" i="28"/>
  <c r="H17" i="28"/>
  <c r="G17" i="28"/>
  <c r="F17" i="28"/>
  <c r="E17" i="28"/>
  <c r="D17" i="28"/>
  <c r="C17" i="28"/>
  <c r="B17" i="28"/>
  <c r="A17" i="28"/>
  <c r="L16" i="28"/>
  <c r="K16" i="28"/>
  <c r="H16" i="28"/>
  <c r="G16" i="28"/>
  <c r="F16" i="28"/>
  <c r="E16" i="28"/>
  <c r="D16" i="28"/>
  <c r="C16" i="28"/>
  <c r="B16" i="28"/>
  <c r="A16" i="28"/>
  <c r="L15" i="28"/>
  <c r="K15" i="28"/>
  <c r="H15" i="28"/>
  <c r="G15" i="28"/>
  <c r="F15" i="28"/>
  <c r="E15" i="28"/>
  <c r="D15" i="28"/>
  <c r="C15" i="28"/>
  <c r="B15" i="28"/>
  <c r="A15" i="28"/>
  <c r="L14" i="28"/>
  <c r="K14" i="28"/>
  <c r="H14" i="28"/>
  <c r="G14" i="28"/>
  <c r="F14" i="28"/>
  <c r="E14" i="28"/>
  <c r="D14" i="28"/>
  <c r="C14" i="28"/>
  <c r="B14" i="28"/>
  <c r="A14" i="28"/>
  <c r="L13" i="28"/>
  <c r="K13" i="28"/>
  <c r="H13" i="28"/>
  <c r="G13" i="28"/>
  <c r="F13" i="28"/>
  <c r="E13" i="28"/>
  <c r="D13" i="28"/>
  <c r="C13" i="28"/>
  <c r="B13" i="28"/>
  <c r="A13" i="28"/>
  <c r="L12" i="28"/>
  <c r="K12" i="28"/>
  <c r="H12" i="28"/>
  <c r="G12" i="28"/>
  <c r="F12" i="28"/>
  <c r="E12" i="28"/>
  <c r="D12" i="28"/>
  <c r="C12" i="28"/>
  <c r="B12" i="28"/>
  <c r="A12" i="28"/>
  <c r="L11" i="28"/>
  <c r="K11" i="28"/>
  <c r="H11" i="28"/>
  <c r="G11" i="28"/>
  <c r="F11" i="28"/>
  <c r="E11" i="28"/>
  <c r="D11" i="28"/>
  <c r="C11" i="28"/>
  <c r="B11" i="28"/>
  <c r="A11" i="28"/>
  <c r="L10" i="28"/>
  <c r="K10" i="28"/>
  <c r="H10" i="28"/>
  <c r="G10" i="28"/>
  <c r="F10" i="28"/>
  <c r="E10" i="28"/>
  <c r="D10" i="28"/>
  <c r="C10" i="28"/>
  <c r="B10" i="28"/>
  <c r="A10" i="28"/>
  <c r="L9" i="28"/>
  <c r="K9" i="28"/>
  <c r="H9" i="28"/>
  <c r="G9" i="28"/>
  <c r="F9" i="28"/>
  <c r="E9" i="28"/>
  <c r="D9" i="28"/>
  <c r="C9" i="28"/>
  <c r="B9" i="28"/>
  <c r="A9" i="28"/>
  <c r="L8" i="28"/>
  <c r="K8" i="28"/>
  <c r="H8" i="28"/>
  <c r="G8" i="28"/>
  <c r="F8" i="28"/>
  <c r="E8" i="28"/>
  <c r="D8" i="28"/>
  <c r="C8" i="28"/>
  <c r="B8" i="28"/>
  <c r="A8" i="28"/>
  <c r="K7" i="28"/>
  <c r="H7" i="28"/>
  <c r="G7" i="28"/>
  <c r="F7" i="28"/>
  <c r="E7" i="28"/>
  <c r="D7" i="28"/>
  <c r="C7" i="28"/>
  <c r="B7" i="28"/>
  <c r="A7" i="28"/>
  <c r="J2" i="28"/>
  <c r="D36" i="1" s="1"/>
  <c r="L110" i="27"/>
  <c r="K110" i="27"/>
  <c r="H110" i="27"/>
  <c r="G110" i="27"/>
  <c r="F110" i="27"/>
  <c r="E110" i="27"/>
  <c r="D110" i="27"/>
  <c r="C110" i="27"/>
  <c r="B110" i="27"/>
  <c r="A110" i="27"/>
  <c r="L109" i="27"/>
  <c r="K109" i="27"/>
  <c r="H109" i="27"/>
  <c r="G109" i="27"/>
  <c r="F109" i="27"/>
  <c r="E109" i="27"/>
  <c r="D109" i="27"/>
  <c r="C109" i="27"/>
  <c r="B109" i="27"/>
  <c r="A109" i="27"/>
  <c r="L108" i="27"/>
  <c r="K108" i="27"/>
  <c r="H108" i="27"/>
  <c r="G108" i="27"/>
  <c r="F108" i="27"/>
  <c r="E108" i="27"/>
  <c r="D108" i="27"/>
  <c r="C108" i="27"/>
  <c r="B108" i="27"/>
  <c r="A108" i="27"/>
  <c r="L107" i="27"/>
  <c r="K107" i="27"/>
  <c r="H107" i="27"/>
  <c r="G107" i="27"/>
  <c r="F107" i="27"/>
  <c r="E107" i="27"/>
  <c r="D107" i="27"/>
  <c r="C107" i="27"/>
  <c r="B107" i="27"/>
  <c r="A107" i="27"/>
  <c r="L106" i="27"/>
  <c r="K106" i="27"/>
  <c r="H106" i="27"/>
  <c r="G106" i="27"/>
  <c r="F106" i="27"/>
  <c r="E106" i="27"/>
  <c r="D106" i="27"/>
  <c r="C106" i="27"/>
  <c r="B106" i="27"/>
  <c r="A106" i="27"/>
  <c r="L105" i="27"/>
  <c r="K105" i="27"/>
  <c r="H105" i="27"/>
  <c r="G105" i="27"/>
  <c r="F105" i="27"/>
  <c r="E105" i="27"/>
  <c r="D105" i="27"/>
  <c r="C105" i="27"/>
  <c r="B105" i="27"/>
  <c r="A105" i="27"/>
  <c r="L104" i="27"/>
  <c r="K104" i="27"/>
  <c r="H104" i="27"/>
  <c r="G104" i="27"/>
  <c r="F104" i="27"/>
  <c r="E104" i="27"/>
  <c r="D104" i="27"/>
  <c r="C104" i="27"/>
  <c r="B104" i="27"/>
  <c r="A104" i="27"/>
  <c r="L103" i="27"/>
  <c r="K103" i="27"/>
  <c r="H103" i="27"/>
  <c r="G103" i="27"/>
  <c r="F103" i="27"/>
  <c r="E103" i="27"/>
  <c r="D103" i="27"/>
  <c r="C103" i="27"/>
  <c r="B103" i="27"/>
  <c r="A103" i="27"/>
  <c r="L102" i="27"/>
  <c r="K102" i="27"/>
  <c r="H102" i="27"/>
  <c r="G102" i="27"/>
  <c r="F102" i="27"/>
  <c r="E102" i="27"/>
  <c r="D102" i="27"/>
  <c r="C102" i="27"/>
  <c r="B102" i="27"/>
  <c r="A102" i="27"/>
  <c r="L101" i="27"/>
  <c r="K101" i="27"/>
  <c r="H101" i="27"/>
  <c r="G101" i="27"/>
  <c r="F101" i="27"/>
  <c r="E101" i="27"/>
  <c r="D101" i="27"/>
  <c r="C101" i="27"/>
  <c r="B101" i="27"/>
  <c r="A101" i="27"/>
  <c r="L100" i="27"/>
  <c r="K100" i="27"/>
  <c r="H100" i="27"/>
  <c r="G100" i="27"/>
  <c r="F100" i="27"/>
  <c r="E100" i="27"/>
  <c r="D100" i="27"/>
  <c r="C100" i="27"/>
  <c r="B100" i="27"/>
  <c r="A100" i="27"/>
  <c r="L99" i="27"/>
  <c r="K99" i="27"/>
  <c r="H99" i="27"/>
  <c r="G99" i="27"/>
  <c r="F99" i="27"/>
  <c r="E99" i="27"/>
  <c r="D99" i="27"/>
  <c r="C99" i="27"/>
  <c r="B99" i="27"/>
  <c r="A99" i="27"/>
  <c r="L98" i="27"/>
  <c r="K98" i="27"/>
  <c r="H98" i="27"/>
  <c r="G98" i="27"/>
  <c r="F98" i="27"/>
  <c r="E98" i="27"/>
  <c r="D98" i="27"/>
  <c r="C98" i="27"/>
  <c r="B98" i="27"/>
  <c r="A98" i="27"/>
  <c r="L97" i="27"/>
  <c r="K97" i="27"/>
  <c r="H97" i="27"/>
  <c r="G97" i="27"/>
  <c r="F97" i="27"/>
  <c r="E97" i="27"/>
  <c r="D97" i="27"/>
  <c r="C97" i="27"/>
  <c r="B97" i="27"/>
  <c r="A97" i="27"/>
  <c r="L96" i="27"/>
  <c r="K96" i="27"/>
  <c r="H96" i="27"/>
  <c r="G96" i="27"/>
  <c r="F96" i="27"/>
  <c r="E96" i="27"/>
  <c r="D96" i="27"/>
  <c r="C96" i="27"/>
  <c r="B96" i="27"/>
  <c r="A96" i="27"/>
  <c r="L95" i="27"/>
  <c r="K95" i="27"/>
  <c r="H95" i="27"/>
  <c r="G95" i="27"/>
  <c r="F95" i="27"/>
  <c r="E95" i="27"/>
  <c r="D95" i="27"/>
  <c r="C95" i="27"/>
  <c r="B95" i="27"/>
  <c r="A95" i="27"/>
  <c r="L94" i="27"/>
  <c r="K94" i="27"/>
  <c r="H94" i="27"/>
  <c r="G94" i="27"/>
  <c r="F94" i="27"/>
  <c r="E94" i="27"/>
  <c r="D94" i="27"/>
  <c r="C94" i="27"/>
  <c r="B94" i="27"/>
  <c r="A94" i="27"/>
  <c r="L93" i="27"/>
  <c r="K93" i="27"/>
  <c r="H93" i="27"/>
  <c r="G93" i="27"/>
  <c r="F93" i="27"/>
  <c r="E93" i="27"/>
  <c r="D93" i="27"/>
  <c r="C93" i="27"/>
  <c r="B93" i="27"/>
  <c r="A93" i="27"/>
  <c r="L92" i="27"/>
  <c r="K92" i="27"/>
  <c r="H92" i="27"/>
  <c r="G92" i="27"/>
  <c r="F92" i="27"/>
  <c r="E92" i="27"/>
  <c r="D92" i="27"/>
  <c r="C92" i="27"/>
  <c r="B92" i="27"/>
  <c r="A92" i="27"/>
  <c r="L91" i="27"/>
  <c r="K91" i="27"/>
  <c r="H91" i="27"/>
  <c r="G91" i="27"/>
  <c r="F91" i="27"/>
  <c r="E91" i="27"/>
  <c r="D91" i="27"/>
  <c r="C91" i="27"/>
  <c r="B91" i="27"/>
  <c r="A91" i="27"/>
  <c r="L90" i="27"/>
  <c r="K90" i="27"/>
  <c r="H90" i="27"/>
  <c r="G90" i="27"/>
  <c r="F90" i="27"/>
  <c r="E90" i="27"/>
  <c r="D90" i="27"/>
  <c r="C90" i="27"/>
  <c r="B90" i="27"/>
  <c r="A90" i="27"/>
  <c r="L89" i="27"/>
  <c r="K89" i="27"/>
  <c r="H89" i="27"/>
  <c r="G89" i="27"/>
  <c r="F89" i="27"/>
  <c r="E89" i="27"/>
  <c r="D89" i="27"/>
  <c r="C89" i="27"/>
  <c r="B89" i="27"/>
  <c r="A89" i="27"/>
  <c r="L88" i="27"/>
  <c r="K88" i="27"/>
  <c r="H88" i="27"/>
  <c r="G88" i="27"/>
  <c r="F88" i="27"/>
  <c r="E88" i="27"/>
  <c r="D88" i="27"/>
  <c r="C88" i="27"/>
  <c r="B88" i="27"/>
  <c r="A88" i="27"/>
  <c r="L87" i="27"/>
  <c r="K87" i="27"/>
  <c r="H87" i="27"/>
  <c r="G87" i="27"/>
  <c r="F87" i="27"/>
  <c r="E87" i="27"/>
  <c r="D87" i="27"/>
  <c r="C87" i="27"/>
  <c r="B87" i="27"/>
  <c r="A87" i="27"/>
  <c r="L86" i="27"/>
  <c r="K86" i="27"/>
  <c r="H86" i="27"/>
  <c r="G86" i="27"/>
  <c r="F86" i="27"/>
  <c r="E86" i="27"/>
  <c r="D86" i="27"/>
  <c r="C86" i="27"/>
  <c r="B86" i="27"/>
  <c r="A86" i="27"/>
  <c r="L85" i="27"/>
  <c r="K85" i="27"/>
  <c r="H85" i="27"/>
  <c r="G85" i="27"/>
  <c r="F85" i="27"/>
  <c r="E85" i="27"/>
  <c r="D85" i="27"/>
  <c r="C85" i="27"/>
  <c r="B85" i="27"/>
  <c r="A85" i="27"/>
  <c r="L84" i="27"/>
  <c r="K84" i="27"/>
  <c r="H84" i="27"/>
  <c r="G84" i="27"/>
  <c r="F84" i="27"/>
  <c r="E84" i="27"/>
  <c r="D84" i="27"/>
  <c r="C84" i="27"/>
  <c r="B84" i="27"/>
  <c r="A84" i="27"/>
  <c r="L83" i="27"/>
  <c r="K83" i="27"/>
  <c r="H83" i="27"/>
  <c r="G83" i="27"/>
  <c r="F83" i="27"/>
  <c r="E83" i="27"/>
  <c r="D83" i="27"/>
  <c r="C83" i="27"/>
  <c r="B83" i="27"/>
  <c r="A83" i="27"/>
  <c r="L82" i="27"/>
  <c r="K82" i="27"/>
  <c r="H82" i="27"/>
  <c r="G82" i="27"/>
  <c r="F82" i="27"/>
  <c r="E82" i="27"/>
  <c r="D82" i="27"/>
  <c r="C82" i="27"/>
  <c r="B82" i="27"/>
  <c r="A82" i="27"/>
  <c r="L81" i="27"/>
  <c r="K81" i="27"/>
  <c r="H81" i="27"/>
  <c r="G81" i="27"/>
  <c r="F81" i="27"/>
  <c r="E81" i="27"/>
  <c r="D81" i="27"/>
  <c r="C81" i="27"/>
  <c r="B81" i="27"/>
  <c r="A81" i="27"/>
  <c r="L80" i="27"/>
  <c r="K80" i="27"/>
  <c r="H80" i="27"/>
  <c r="G80" i="27"/>
  <c r="F80" i="27"/>
  <c r="E80" i="27"/>
  <c r="D80" i="27"/>
  <c r="C80" i="27"/>
  <c r="B80" i="27"/>
  <c r="A80" i="27"/>
  <c r="L79" i="27"/>
  <c r="K79" i="27"/>
  <c r="H79" i="27"/>
  <c r="G79" i="27"/>
  <c r="F79" i="27"/>
  <c r="E79" i="27"/>
  <c r="D79" i="27"/>
  <c r="C79" i="27"/>
  <c r="B79" i="27"/>
  <c r="A79" i="27"/>
  <c r="L78" i="27"/>
  <c r="K78" i="27"/>
  <c r="H78" i="27"/>
  <c r="G78" i="27"/>
  <c r="F78" i="27"/>
  <c r="E78" i="27"/>
  <c r="D78" i="27"/>
  <c r="C78" i="27"/>
  <c r="B78" i="27"/>
  <c r="A78" i="27"/>
  <c r="L77" i="27"/>
  <c r="K77" i="27"/>
  <c r="H77" i="27"/>
  <c r="G77" i="27"/>
  <c r="F77" i="27"/>
  <c r="E77" i="27"/>
  <c r="D77" i="27"/>
  <c r="C77" i="27"/>
  <c r="B77" i="27"/>
  <c r="A77" i="27"/>
  <c r="L76" i="27"/>
  <c r="K76" i="27"/>
  <c r="H76" i="27"/>
  <c r="G76" i="27"/>
  <c r="F76" i="27"/>
  <c r="E76" i="27"/>
  <c r="D76" i="27"/>
  <c r="C76" i="27"/>
  <c r="B76" i="27"/>
  <c r="A76" i="27"/>
  <c r="L75" i="27"/>
  <c r="K75" i="27"/>
  <c r="H75" i="27"/>
  <c r="G75" i="27"/>
  <c r="F75" i="27"/>
  <c r="E75" i="27"/>
  <c r="D75" i="27"/>
  <c r="C75" i="27"/>
  <c r="B75" i="27"/>
  <c r="A75" i="27"/>
  <c r="L74" i="27"/>
  <c r="K74" i="27"/>
  <c r="H74" i="27"/>
  <c r="G74" i="27"/>
  <c r="F74" i="27"/>
  <c r="E74" i="27"/>
  <c r="D74" i="27"/>
  <c r="C74" i="27"/>
  <c r="B74" i="27"/>
  <c r="A74" i="27"/>
  <c r="L73" i="27"/>
  <c r="K73" i="27"/>
  <c r="H73" i="27"/>
  <c r="G73" i="27"/>
  <c r="F73" i="27"/>
  <c r="E73" i="27"/>
  <c r="D73" i="27"/>
  <c r="C73" i="27"/>
  <c r="B73" i="27"/>
  <c r="A73" i="27"/>
  <c r="L72" i="27"/>
  <c r="K72" i="27"/>
  <c r="H72" i="27"/>
  <c r="G72" i="27"/>
  <c r="F72" i="27"/>
  <c r="E72" i="27"/>
  <c r="D72" i="27"/>
  <c r="C72" i="27"/>
  <c r="B72" i="27"/>
  <c r="A72" i="27"/>
  <c r="L71" i="27"/>
  <c r="K71" i="27"/>
  <c r="H71" i="27"/>
  <c r="G71" i="27"/>
  <c r="F71" i="27"/>
  <c r="E71" i="27"/>
  <c r="D71" i="27"/>
  <c r="C71" i="27"/>
  <c r="B71" i="27"/>
  <c r="A71" i="27"/>
  <c r="L70" i="27"/>
  <c r="K70" i="27"/>
  <c r="H70" i="27"/>
  <c r="G70" i="27"/>
  <c r="F70" i="27"/>
  <c r="E70" i="27"/>
  <c r="D70" i="27"/>
  <c r="C70" i="27"/>
  <c r="B70" i="27"/>
  <c r="A70" i="27"/>
  <c r="L69" i="27"/>
  <c r="K69" i="27"/>
  <c r="H69" i="27"/>
  <c r="G69" i="27"/>
  <c r="F69" i="27"/>
  <c r="E69" i="27"/>
  <c r="D69" i="27"/>
  <c r="C69" i="27"/>
  <c r="B69" i="27"/>
  <c r="A69" i="27"/>
  <c r="L68" i="27"/>
  <c r="K68" i="27"/>
  <c r="H68" i="27"/>
  <c r="G68" i="27"/>
  <c r="F68" i="27"/>
  <c r="E68" i="27"/>
  <c r="D68" i="27"/>
  <c r="C68" i="27"/>
  <c r="B68" i="27"/>
  <c r="A68" i="27"/>
  <c r="L67" i="27"/>
  <c r="K67" i="27"/>
  <c r="H67" i="27"/>
  <c r="G67" i="27"/>
  <c r="F67" i="27"/>
  <c r="E67" i="27"/>
  <c r="D67" i="27"/>
  <c r="C67" i="27"/>
  <c r="B67" i="27"/>
  <c r="A67" i="27"/>
  <c r="L66" i="27"/>
  <c r="K66" i="27"/>
  <c r="H66" i="27"/>
  <c r="G66" i="27"/>
  <c r="F66" i="27"/>
  <c r="E66" i="27"/>
  <c r="D66" i="27"/>
  <c r="C66" i="27"/>
  <c r="B66" i="27"/>
  <c r="A66" i="27"/>
  <c r="L65" i="27"/>
  <c r="K65" i="27"/>
  <c r="H65" i="27"/>
  <c r="G65" i="27"/>
  <c r="F65" i="27"/>
  <c r="E65" i="27"/>
  <c r="D65" i="27"/>
  <c r="C65" i="27"/>
  <c r="B65" i="27"/>
  <c r="A65" i="27"/>
  <c r="L64" i="27"/>
  <c r="K64" i="27"/>
  <c r="H64" i="27"/>
  <c r="G64" i="27"/>
  <c r="F64" i="27"/>
  <c r="E64" i="27"/>
  <c r="D64" i="27"/>
  <c r="C64" i="27"/>
  <c r="B64" i="27"/>
  <c r="A64" i="27"/>
  <c r="L63" i="27"/>
  <c r="K63" i="27"/>
  <c r="H63" i="27"/>
  <c r="G63" i="27"/>
  <c r="F63" i="27"/>
  <c r="E63" i="27"/>
  <c r="D63" i="27"/>
  <c r="C63" i="27"/>
  <c r="B63" i="27"/>
  <c r="A63" i="27"/>
  <c r="L62" i="27"/>
  <c r="K62" i="27"/>
  <c r="H62" i="27"/>
  <c r="G62" i="27"/>
  <c r="F62" i="27"/>
  <c r="E62" i="27"/>
  <c r="D62" i="27"/>
  <c r="C62" i="27"/>
  <c r="B62" i="27"/>
  <c r="A62" i="27"/>
  <c r="L61" i="27"/>
  <c r="K61" i="27"/>
  <c r="H61" i="27"/>
  <c r="G61" i="27"/>
  <c r="F61" i="27"/>
  <c r="E61" i="27"/>
  <c r="D61" i="27"/>
  <c r="C61" i="27"/>
  <c r="B61" i="27"/>
  <c r="A61" i="27"/>
  <c r="L60" i="27"/>
  <c r="K60" i="27"/>
  <c r="H60" i="27"/>
  <c r="G60" i="27"/>
  <c r="F60" i="27"/>
  <c r="E60" i="27"/>
  <c r="D60" i="27"/>
  <c r="C60" i="27"/>
  <c r="B60" i="27"/>
  <c r="A60" i="27"/>
  <c r="L59" i="27"/>
  <c r="K59" i="27"/>
  <c r="H59" i="27"/>
  <c r="G59" i="27"/>
  <c r="F59" i="27"/>
  <c r="E59" i="27"/>
  <c r="D59" i="27"/>
  <c r="C59" i="27"/>
  <c r="B59" i="27"/>
  <c r="A59" i="27"/>
  <c r="L58" i="27"/>
  <c r="K58" i="27"/>
  <c r="H58" i="27"/>
  <c r="G58" i="27"/>
  <c r="F58" i="27"/>
  <c r="E58" i="27"/>
  <c r="D58" i="27"/>
  <c r="C58" i="27"/>
  <c r="B58" i="27"/>
  <c r="A58" i="27"/>
  <c r="L57" i="27"/>
  <c r="K57" i="27"/>
  <c r="H57" i="27"/>
  <c r="G57" i="27"/>
  <c r="F57" i="27"/>
  <c r="E57" i="27"/>
  <c r="D57" i="27"/>
  <c r="C57" i="27"/>
  <c r="B57" i="27"/>
  <c r="A57" i="27"/>
  <c r="L56" i="27"/>
  <c r="K56" i="27"/>
  <c r="H56" i="27"/>
  <c r="G56" i="27"/>
  <c r="F56" i="27"/>
  <c r="E56" i="27"/>
  <c r="D56" i="27"/>
  <c r="C56" i="27"/>
  <c r="B56" i="27"/>
  <c r="A56" i="27"/>
  <c r="L55" i="27"/>
  <c r="K55" i="27"/>
  <c r="H55" i="27"/>
  <c r="G55" i="27"/>
  <c r="F55" i="27"/>
  <c r="E55" i="27"/>
  <c r="D55" i="27"/>
  <c r="C55" i="27"/>
  <c r="B55" i="27"/>
  <c r="A55" i="27"/>
  <c r="L54" i="27"/>
  <c r="K54" i="27"/>
  <c r="H54" i="27"/>
  <c r="G54" i="27"/>
  <c r="F54" i="27"/>
  <c r="E54" i="27"/>
  <c r="D54" i="27"/>
  <c r="C54" i="27"/>
  <c r="B54" i="27"/>
  <c r="A54" i="27"/>
  <c r="L53" i="27"/>
  <c r="K53" i="27"/>
  <c r="H53" i="27"/>
  <c r="G53" i="27"/>
  <c r="F53" i="27"/>
  <c r="E53" i="27"/>
  <c r="D53" i="27"/>
  <c r="C53" i="27"/>
  <c r="B53" i="27"/>
  <c r="A53" i="27"/>
  <c r="L52" i="27"/>
  <c r="K52" i="27"/>
  <c r="H52" i="27"/>
  <c r="G52" i="27"/>
  <c r="F52" i="27"/>
  <c r="E52" i="27"/>
  <c r="D52" i="27"/>
  <c r="C52" i="27"/>
  <c r="B52" i="27"/>
  <c r="A52" i="27"/>
  <c r="L51" i="27"/>
  <c r="K51" i="27"/>
  <c r="H51" i="27"/>
  <c r="G51" i="27"/>
  <c r="F51" i="27"/>
  <c r="E51" i="27"/>
  <c r="D51" i="27"/>
  <c r="C51" i="27"/>
  <c r="B51" i="27"/>
  <c r="A51" i="27"/>
  <c r="L50" i="27"/>
  <c r="K50" i="27"/>
  <c r="H50" i="27"/>
  <c r="G50" i="27"/>
  <c r="F50" i="27"/>
  <c r="E50" i="27"/>
  <c r="D50" i="27"/>
  <c r="C50" i="27"/>
  <c r="B50" i="27"/>
  <c r="A50" i="27"/>
  <c r="L49" i="27"/>
  <c r="K49" i="27"/>
  <c r="H49" i="27"/>
  <c r="G49" i="27"/>
  <c r="F49" i="27"/>
  <c r="E49" i="27"/>
  <c r="D49" i="27"/>
  <c r="C49" i="27"/>
  <c r="B49" i="27"/>
  <c r="A49" i="27"/>
  <c r="L48" i="27"/>
  <c r="K48" i="27"/>
  <c r="H48" i="27"/>
  <c r="G48" i="27"/>
  <c r="F48" i="27"/>
  <c r="E48" i="27"/>
  <c r="D48" i="27"/>
  <c r="C48" i="27"/>
  <c r="B48" i="27"/>
  <c r="A48" i="27"/>
  <c r="L47" i="27"/>
  <c r="K47" i="27"/>
  <c r="H47" i="27"/>
  <c r="G47" i="27"/>
  <c r="F47" i="27"/>
  <c r="E47" i="27"/>
  <c r="D47" i="27"/>
  <c r="C47" i="27"/>
  <c r="B47" i="27"/>
  <c r="A47" i="27"/>
  <c r="L46" i="27"/>
  <c r="K46" i="27"/>
  <c r="H46" i="27"/>
  <c r="G46" i="27"/>
  <c r="F46" i="27"/>
  <c r="E46" i="27"/>
  <c r="D46" i="27"/>
  <c r="C46" i="27"/>
  <c r="B46" i="27"/>
  <c r="A46" i="27"/>
  <c r="L45" i="27"/>
  <c r="K45" i="27"/>
  <c r="H45" i="27"/>
  <c r="G45" i="27"/>
  <c r="F45" i="27"/>
  <c r="E45" i="27"/>
  <c r="D45" i="27"/>
  <c r="C45" i="27"/>
  <c r="B45" i="27"/>
  <c r="A45" i="27"/>
  <c r="L44" i="27"/>
  <c r="K44" i="27"/>
  <c r="H44" i="27"/>
  <c r="G44" i="27"/>
  <c r="F44" i="27"/>
  <c r="E44" i="27"/>
  <c r="D44" i="27"/>
  <c r="C44" i="27"/>
  <c r="B44" i="27"/>
  <c r="A44" i="27"/>
  <c r="L43" i="27"/>
  <c r="K43" i="27"/>
  <c r="H43" i="27"/>
  <c r="G43" i="27"/>
  <c r="F43" i="27"/>
  <c r="E43" i="27"/>
  <c r="D43" i="27"/>
  <c r="C43" i="27"/>
  <c r="B43" i="27"/>
  <c r="A43" i="27"/>
  <c r="L42" i="27"/>
  <c r="K42" i="27"/>
  <c r="H42" i="27"/>
  <c r="G42" i="27"/>
  <c r="F42" i="27"/>
  <c r="E42" i="27"/>
  <c r="D42" i="27"/>
  <c r="C42" i="27"/>
  <c r="B42" i="27"/>
  <c r="A42" i="27"/>
  <c r="L41" i="27"/>
  <c r="K41" i="27"/>
  <c r="H41" i="27"/>
  <c r="G41" i="27"/>
  <c r="F41" i="27"/>
  <c r="E41" i="27"/>
  <c r="D41" i="27"/>
  <c r="C41" i="27"/>
  <c r="B41" i="27"/>
  <c r="A41" i="27"/>
  <c r="L40" i="27"/>
  <c r="K40" i="27"/>
  <c r="H40" i="27"/>
  <c r="G40" i="27"/>
  <c r="F40" i="27"/>
  <c r="E40" i="27"/>
  <c r="D40" i="27"/>
  <c r="C40" i="27"/>
  <c r="B40" i="27"/>
  <c r="A40" i="27"/>
  <c r="L39" i="27"/>
  <c r="K39" i="27"/>
  <c r="H39" i="27"/>
  <c r="G39" i="27"/>
  <c r="F39" i="27"/>
  <c r="E39" i="27"/>
  <c r="D39" i="27"/>
  <c r="C39" i="27"/>
  <c r="B39" i="27"/>
  <c r="A39" i="27"/>
  <c r="L38" i="27"/>
  <c r="K38" i="27"/>
  <c r="H38" i="27"/>
  <c r="G38" i="27"/>
  <c r="F38" i="27"/>
  <c r="E38" i="27"/>
  <c r="D38" i="27"/>
  <c r="C38" i="27"/>
  <c r="B38" i="27"/>
  <c r="A38" i="27"/>
  <c r="L37" i="27"/>
  <c r="K37" i="27"/>
  <c r="H37" i="27"/>
  <c r="G37" i="27"/>
  <c r="F37" i="27"/>
  <c r="E37" i="27"/>
  <c r="D37" i="27"/>
  <c r="C37" i="27"/>
  <c r="B37" i="27"/>
  <c r="A37" i="27"/>
  <c r="L36" i="27"/>
  <c r="K36" i="27"/>
  <c r="H36" i="27"/>
  <c r="G36" i="27"/>
  <c r="F36" i="27"/>
  <c r="E36" i="27"/>
  <c r="D36" i="27"/>
  <c r="C36" i="27"/>
  <c r="B36" i="27"/>
  <c r="A36" i="27"/>
  <c r="L35" i="27"/>
  <c r="K35" i="27"/>
  <c r="H35" i="27"/>
  <c r="G35" i="27"/>
  <c r="F35" i="27"/>
  <c r="E35" i="27"/>
  <c r="D35" i="27"/>
  <c r="C35" i="27"/>
  <c r="B35" i="27"/>
  <c r="A35" i="27"/>
  <c r="L34" i="27"/>
  <c r="K34" i="27"/>
  <c r="H34" i="27"/>
  <c r="G34" i="27"/>
  <c r="F34" i="27"/>
  <c r="E34" i="27"/>
  <c r="D34" i="27"/>
  <c r="C34" i="27"/>
  <c r="B34" i="27"/>
  <c r="A34" i="27"/>
  <c r="L33" i="27"/>
  <c r="K33" i="27"/>
  <c r="H33" i="27"/>
  <c r="G33" i="27"/>
  <c r="F33" i="27"/>
  <c r="E33" i="27"/>
  <c r="D33" i="27"/>
  <c r="C33" i="27"/>
  <c r="B33" i="27"/>
  <c r="A33" i="27"/>
  <c r="L32" i="27"/>
  <c r="K32" i="27"/>
  <c r="H32" i="27"/>
  <c r="G32" i="27"/>
  <c r="F32" i="27"/>
  <c r="E32" i="27"/>
  <c r="D32" i="27"/>
  <c r="C32" i="27"/>
  <c r="B32" i="27"/>
  <c r="A32" i="27"/>
  <c r="L31" i="27"/>
  <c r="K31" i="27"/>
  <c r="H31" i="27"/>
  <c r="G31" i="27"/>
  <c r="F31" i="27"/>
  <c r="E31" i="27"/>
  <c r="D31" i="27"/>
  <c r="C31" i="27"/>
  <c r="B31" i="27"/>
  <c r="A31" i="27"/>
  <c r="L30" i="27"/>
  <c r="K30" i="27"/>
  <c r="H30" i="27"/>
  <c r="G30" i="27"/>
  <c r="F30" i="27"/>
  <c r="E30" i="27"/>
  <c r="D30" i="27"/>
  <c r="C30" i="27"/>
  <c r="B30" i="27"/>
  <c r="A30" i="27"/>
  <c r="L29" i="27"/>
  <c r="K29" i="27"/>
  <c r="H29" i="27"/>
  <c r="G29" i="27"/>
  <c r="F29" i="27"/>
  <c r="E29" i="27"/>
  <c r="D29" i="27"/>
  <c r="C29" i="27"/>
  <c r="B29" i="27"/>
  <c r="A29" i="27"/>
  <c r="L28" i="27"/>
  <c r="K28" i="27"/>
  <c r="H28" i="27"/>
  <c r="G28" i="27"/>
  <c r="F28" i="27"/>
  <c r="E28" i="27"/>
  <c r="D28" i="27"/>
  <c r="C28" i="27"/>
  <c r="B28" i="27"/>
  <c r="A28" i="27"/>
  <c r="L27" i="27"/>
  <c r="K27" i="27"/>
  <c r="H27" i="27"/>
  <c r="G27" i="27"/>
  <c r="F27" i="27"/>
  <c r="E27" i="27"/>
  <c r="D27" i="27"/>
  <c r="C27" i="27"/>
  <c r="B27" i="27"/>
  <c r="A27" i="27"/>
  <c r="L26" i="27"/>
  <c r="K26" i="27"/>
  <c r="H26" i="27"/>
  <c r="G26" i="27"/>
  <c r="F26" i="27"/>
  <c r="E26" i="27"/>
  <c r="D26" i="27"/>
  <c r="C26" i="27"/>
  <c r="B26" i="27"/>
  <c r="A26" i="27"/>
  <c r="L25" i="27"/>
  <c r="K25" i="27"/>
  <c r="H25" i="27"/>
  <c r="G25" i="27"/>
  <c r="F25" i="27"/>
  <c r="E25" i="27"/>
  <c r="D25" i="27"/>
  <c r="C25" i="27"/>
  <c r="B25" i="27"/>
  <c r="A25" i="27"/>
  <c r="L24" i="27"/>
  <c r="K24" i="27"/>
  <c r="H24" i="27"/>
  <c r="G24" i="27"/>
  <c r="F24" i="27"/>
  <c r="E24" i="27"/>
  <c r="D24" i="27"/>
  <c r="C24" i="27"/>
  <c r="B24" i="27"/>
  <c r="A24" i="27"/>
  <c r="L23" i="27"/>
  <c r="K23" i="27"/>
  <c r="H23" i="27"/>
  <c r="G23" i="27"/>
  <c r="F23" i="27"/>
  <c r="E23" i="27"/>
  <c r="D23" i="27"/>
  <c r="C23" i="27"/>
  <c r="B23" i="27"/>
  <c r="A23" i="27"/>
  <c r="L22" i="27"/>
  <c r="K22" i="27"/>
  <c r="H22" i="27"/>
  <c r="G22" i="27"/>
  <c r="F22" i="27"/>
  <c r="E22" i="27"/>
  <c r="D22" i="27"/>
  <c r="C22" i="27"/>
  <c r="B22" i="27"/>
  <c r="A22" i="27"/>
  <c r="L21" i="27"/>
  <c r="K21" i="27"/>
  <c r="H21" i="27"/>
  <c r="G21" i="27"/>
  <c r="F21" i="27"/>
  <c r="E21" i="27"/>
  <c r="D21" i="27"/>
  <c r="C21" i="27"/>
  <c r="B21" i="27"/>
  <c r="A21" i="27"/>
  <c r="L20" i="27"/>
  <c r="K20" i="27"/>
  <c r="H20" i="27"/>
  <c r="G20" i="27"/>
  <c r="F20" i="27"/>
  <c r="E20" i="27"/>
  <c r="D20" i="27"/>
  <c r="C20" i="27"/>
  <c r="B20" i="27"/>
  <c r="A20" i="27"/>
  <c r="L19" i="27"/>
  <c r="K19" i="27"/>
  <c r="H19" i="27"/>
  <c r="G19" i="27"/>
  <c r="F19" i="27"/>
  <c r="E19" i="27"/>
  <c r="D19" i="27"/>
  <c r="C19" i="27"/>
  <c r="B19" i="27"/>
  <c r="A19" i="27"/>
  <c r="L18" i="27"/>
  <c r="K18" i="27"/>
  <c r="H18" i="27"/>
  <c r="G18" i="27"/>
  <c r="F18" i="27"/>
  <c r="E18" i="27"/>
  <c r="D18" i="27"/>
  <c r="C18" i="27"/>
  <c r="B18" i="27"/>
  <c r="A18" i="27"/>
  <c r="L17" i="27"/>
  <c r="K17" i="27"/>
  <c r="H17" i="27"/>
  <c r="G17" i="27"/>
  <c r="F17" i="27"/>
  <c r="E17" i="27"/>
  <c r="D17" i="27"/>
  <c r="C17" i="27"/>
  <c r="B17" i="27"/>
  <c r="A17" i="27"/>
  <c r="L16" i="27"/>
  <c r="K16" i="27"/>
  <c r="H16" i="27"/>
  <c r="G16" i="27"/>
  <c r="F16" i="27"/>
  <c r="E16" i="27"/>
  <c r="D16" i="27"/>
  <c r="C16" i="27"/>
  <c r="B16" i="27"/>
  <c r="A16" i="27"/>
  <c r="L15" i="27"/>
  <c r="K15" i="27"/>
  <c r="H15" i="27"/>
  <c r="G15" i="27"/>
  <c r="F15" i="27"/>
  <c r="E15" i="27"/>
  <c r="D15" i="27"/>
  <c r="C15" i="27"/>
  <c r="B15" i="27"/>
  <c r="A15" i="27"/>
  <c r="L14" i="27"/>
  <c r="K14" i="27"/>
  <c r="H14" i="27"/>
  <c r="G14" i="27"/>
  <c r="F14" i="27"/>
  <c r="E14" i="27"/>
  <c r="D14" i="27"/>
  <c r="C14" i="27"/>
  <c r="B14" i="27"/>
  <c r="A14" i="27"/>
  <c r="L13" i="27"/>
  <c r="K13" i="27"/>
  <c r="H13" i="27"/>
  <c r="G13" i="27"/>
  <c r="F13" i="27"/>
  <c r="E13" i="27"/>
  <c r="D13" i="27"/>
  <c r="C13" i="27"/>
  <c r="B13" i="27"/>
  <c r="A13" i="27"/>
  <c r="L12" i="27"/>
  <c r="K12" i="27"/>
  <c r="H12" i="27"/>
  <c r="G12" i="27"/>
  <c r="F12" i="27"/>
  <c r="E12" i="27"/>
  <c r="D12" i="27"/>
  <c r="C12" i="27"/>
  <c r="B12" i="27"/>
  <c r="A12" i="27"/>
  <c r="L11" i="27"/>
  <c r="K11" i="27"/>
  <c r="H11" i="27"/>
  <c r="G11" i="27"/>
  <c r="F11" i="27"/>
  <c r="E11" i="27"/>
  <c r="D11" i="27"/>
  <c r="C11" i="27"/>
  <c r="B11" i="27"/>
  <c r="A11" i="27"/>
  <c r="L10" i="27"/>
  <c r="K10" i="27"/>
  <c r="H10" i="27"/>
  <c r="G10" i="27"/>
  <c r="F10" i="27"/>
  <c r="E10" i="27"/>
  <c r="D10" i="27"/>
  <c r="C10" i="27"/>
  <c r="B10" i="27"/>
  <c r="A10" i="27"/>
  <c r="L9" i="27"/>
  <c r="K9" i="27"/>
  <c r="H9" i="27"/>
  <c r="G9" i="27"/>
  <c r="F9" i="27"/>
  <c r="E9" i="27"/>
  <c r="D9" i="27"/>
  <c r="C9" i="27"/>
  <c r="B9" i="27"/>
  <c r="A9" i="27"/>
  <c r="L8" i="27"/>
  <c r="K8" i="27"/>
  <c r="H8" i="27"/>
  <c r="G8" i="27"/>
  <c r="F8" i="27"/>
  <c r="E8" i="27"/>
  <c r="D8" i="27"/>
  <c r="C8" i="27"/>
  <c r="B8" i="27"/>
  <c r="A8" i="27"/>
  <c r="K7" i="27"/>
  <c r="H7" i="27"/>
  <c r="G7" i="27"/>
  <c r="F7" i="27"/>
  <c r="E7" i="27"/>
  <c r="D7" i="27"/>
  <c r="C7" i="27"/>
  <c r="B7" i="27"/>
  <c r="A7" i="27"/>
  <c r="J2" i="27"/>
  <c r="D35" i="1" s="1"/>
  <c r="L110" i="26"/>
  <c r="K110" i="26"/>
  <c r="H110" i="26"/>
  <c r="G110" i="26"/>
  <c r="F110" i="26"/>
  <c r="E110" i="26"/>
  <c r="D110" i="26"/>
  <c r="C110" i="26"/>
  <c r="B110" i="26"/>
  <c r="A110" i="26"/>
  <c r="L109" i="26"/>
  <c r="K109" i="26"/>
  <c r="H109" i="26"/>
  <c r="G109" i="26"/>
  <c r="F109" i="26"/>
  <c r="E109" i="26"/>
  <c r="D109" i="26"/>
  <c r="C109" i="26"/>
  <c r="B109" i="26"/>
  <c r="A109" i="26"/>
  <c r="L108" i="26"/>
  <c r="K108" i="26"/>
  <c r="H108" i="26"/>
  <c r="G108" i="26"/>
  <c r="F108" i="26"/>
  <c r="E108" i="26"/>
  <c r="D108" i="26"/>
  <c r="C108" i="26"/>
  <c r="B108" i="26"/>
  <c r="A108" i="26"/>
  <c r="L107" i="26"/>
  <c r="K107" i="26"/>
  <c r="H107" i="26"/>
  <c r="G107" i="26"/>
  <c r="F107" i="26"/>
  <c r="E107" i="26"/>
  <c r="D107" i="26"/>
  <c r="C107" i="26"/>
  <c r="B107" i="26"/>
  <c r="A107" i="26"/>
  <c r="L106" i="26"/>
  <c r="K106" i="26"/>
  <c r="H106" i="26"/>
  <c r="G106" i="26"/>
  <c r="F106" i="26"/>
  <c r="E106" i="26"/>
  <c r="D106" i="26"/>
  <c r="C106" i="26"/>
  <c r="B106" i="26"/>
  <c r="A106" i="26"/>
  <c r="L105" i="26"/>
  <c r="K105" i="26"/>
  <c r="H105" i="26"/>
  <c r="G105" i="26"/>
  <c r="F105" i="26"/>
  <c r="E105" i="26"/>
  <c r="D105" i="26"/>
  <c r="C105" i="26"/>
  <c r="B105" i="26"/>
  <c r="A105" i="26"/>
  <c r="L104" i="26"/>
  <c r="K104" i="26"/>
  <c r="H104" i="26"/>
  <c r="G104" i="26"/>
  <c r="F104" i="26"/>
  <c r="E104" i="26"/>
  <c r="D104" i="26"/>
  <c r="C104" i="26"/>
  <c r="B104" i="26"/>
  <c r="A104" i="26"/>
  <c r="L103" i="26"/>
  <c r="K103" i="26"/>
  <c r="H103" i="26"/>
  <c r="G103" i="26"/>
  <c r="F103" i="26"/>
  <c r="E103" i="26"/>
  <c r="D103" i="26"/>
  <c r="C103" i="26"/>
  <c r="B103" i="26"/>
  <c r="A103" i="26"/>
  <c r="L102" i="26"/>
  <c r="K102" i="26"/>
  <c r="H102" i="26"/>
  <c r="G102" i="26"/>
  <c r="F102" i="26"/>
  <c r="E102" i="26"/>
  <c r="D102" i="26"/>
  <c r="C102" i="26"/>
  <c r="B102" i="26"/>
  <c r="A102" i="26"/>
  <c r="L101" i="26"/>
  <c r="K101" i="26"/>
  <c r="H101" i="26"/>
  <c r="G101" i="26"/>
  <c r="F101" i="26"/>
  <c r="E101" i="26"/>
  <c r="D101" i="26"/>
  <c r="C101" i="26"/>
  <c r="B101" i="26"/>
  <c r="A101" i="26"/>
  <c r="L100" i="26"/>
  <c r="K100" i="26"/>
  <c r="H100" i="26"/>
  <c r="G100" i="26"/>
  <c r="F100" i="26"/>
  <c r="E100" i="26"/>
  <c r="D100" i="26"/>
  <c r="C100" i="26"/>
  <c r="B100" i="26"/>
  <c r="A100" i="26"/>
  <c r="L99" i="26"/>
  <c r="K99" i="26"/>
  <c r="H99" i="26"/>
  <c r="G99" i="26"/>
  <c r="F99" i="26"/>
  <c r="E99" i="26"/>
  <c r="D99" i="26"/>
  <c r="C99" i="26"/>
  <c r="B99" i="26"/>
  <c r="A99" i="26"/>
  <c r="L98" i="26"/>
  <c r="K98" i="26"/>
  <c r="H98" i="26"/>
  <c r="G98" i="26"/>
  <c r="F98" i="26"/>
  <c r="E98" i="26"/>
  <c r="D98" i="26"/>
  <c r="C98" i="26"/>
  <c r="B98" i="26"/>
  <c r="A98" i="26"/>
  <c r="L97" i="26"/>
  <c r="K97" i="26"/>
  <c r="H97" i="26"/>
  <c r="G97" i="26"/>
  <c r="F97" i="26"/>
  <c r="E97" i="26"/>
  <c r="D97" i="26"/>
  <c r="C97" i="26"/>
  <c r="B97" i="26"/>
  <c r="A97" i="26"/>
  <c r="L96" i="26"/>
  <c r="K96" i="26"/>
  <c r="H96" i="26"/>
  <c r="G96" i="26"/>
  <c r="F96" i="26"/>
  <c r="E96" i="26"/>
  <c r="D96" i="26"/>
  <c r="C96" i="26"/>
  <c r="B96" i="26"/>
  <c r="A96" i="26"/>
  <c r="L95" i="26"/>
  <c r="K95" i="26"/>
  <c r="H95" i="26"/>
  <c r="G95" i="26"/>
  <c r="F95" i="26"/>
  <c r="E95" i="26"/>
  <c r="D95" i="26"/>
  <c r="C95" i="26"/>
  <c r="B95" i="26"/>
  <c r="A95" i="26"/>
  <c r="L94" i="26"/>
  <c r="K94" i="26"/>
  <c r="H94" i="26"/>
  <c r="G94" i="26"/>
  <c r="F94" i="26"/>
  <c r="E94" i="26"/>
  <c r="D94" i="26"/>
  <c r="C94" i="26"/>
  <c r="B94" i="26"/>
  <c r="A94" i="26"/>
  <c r="L93" i="26"/>
  <c r="K93" i="26"/>
  <c r="H93" i="26"/>
  <c r="G93" i="26"/>
  <c r="F93" i="26"/>
  <c r="E93" i="26"/>
  <c r="D93" i="26"/>
  <c r="C93" i="26"/>
  <c r="B93" i="26"/>
  <c r="A93" i="26"/>
  <c r="L92" i="26"/>
  <c r="K92" i="26"/>
  <c r="H92" i="26"/>
  <c r="G92" i="26"/>
  <c r="F92" i="26"/>
  <c r="E92" i="26"/>
  <c r="D92" i="26"/>
  <c r="C92" i="26"/>
  <c r="B92" i="26"/>
  <c r="A92" i="26"/>
  <c r="L91" i="26"/>
  <c r="K91" i="26"/>
  <c r="H91" i="26"/>
  <c r="G91" i="26"/>
  <c r="F91" i="26"/>
  <c r="E91" i="26"/>
  <c r="D91" i="26"/>
  <c r="C91" i="26"/>
  <c r="B91" i="26"/>
  <c r="A91" i="26"/>
  <c r="L90" i="26"/>
  <c r="K90" i="26"/>
  <c r="H90" i="26"/>
  <c r="G90" i="26"/>
  <c r="F90" i="26"/>
  <c r="E90" i="26"/>
  <c r="D90" i="26"/>
  <c r="C90" i="26"/>
  <c r="B90" i="26"/>
  <c r="A90" i="26"/>
  <c r="L89" i="26"/>
  <c r="K89" i="26"/>
  <c r="H89" i="26"/>
  <c r="G89" i="26"/>
  <c r="F89" i="26"/>
  <c r="E89" i="26"/>
  <c r="D89" i="26"/>
  <c r="C89" i="26"/>
  <c r="B89" i="26"/>
  <c r="A89" i="26"/>
  <c r="L88" i="26"/>
  <c r="K88" i="26"/>
  <c r="H88" i="26"/>
  <c r="G88" i="26"/>
  <c r="F88" i="26"/>
  <c r="E88" i="26"/>
  <c r="D88" i="26"/>
  <c r="C88" i="26"/>
  <c r="B88" i="26"/>
  <c r="A88" i="26"/>
  <c r="L87" i="26"/>
  <c r="K87" i="26"/>
  <c r="H87" i="26"/>
  <c r="G87" i="26"/>
  <c r="F87" i="26"/>
  <c r="E87" i="26"/>
  <c r="D87" i="26"/>
  <c r="C87" i="26"/>
  <c r="B87" i="26"/>
  <c r="A87" i="26"/>
  <c r="L86" i="26"/>
  <c r="K86" i="26"/>
  <c r="H86" i="26"/>
  <c r="G86" i="26"/>
  <c r="F86" i="26"/>
  <c r="E86" i="26"/>
  <c r="D86" i="26"/>
  <c r="C86" i="26"/>
  <c r="B86" i="26"/>
  <c r="A86" i="26"/>
  <c r="L85" i="26"/>
  <c r="K85" i="26"/>
  <c r="H85" i="26"/>
  <c r="G85" i="26"/>
  <c r="F85" i="26"/>
  <c r="E85" i="26"/>
  <c r="D85" i="26"/>
  <c r="C85" i="26"/>
  <c r="B85" i="26"/>
  <c r="A85" i="26"/>
  <c r="L84" i="26"/>
  <c r="K84" i="26"/>
  <c r="H84" i="26"/>
  <c r="G84" i="26"/>
  <c r="F84" i="26"/>
  <c r="E84" i="26"/>
  <c r="D84" i="26"/>
  <c r="C84" i="26"/>
  <c r="B84" i="26"/>
  <c r="A84" i="26"/>
  <c r="L83" i="26"/>
  <c r="K83" i="26"/>
  <c r="H83" i="26"/>
  <c r="G83" i="26"/>
  <c r="F83" i="26"/>
  <c r="E83" i="26"/>
  <c r="D83" i="26"/>
  <c r="C83" i="26"/>
  <c r="B83" i="26"/>
  <c r="A83" i="26"/>
  <c r="L82" i="26"/>
  <c r="K82" i="26"/>
  <c r="H82" i="26"/>
  <c r="G82" i="26"/>
  <c r="F82" i="26"/>
  <c r="E82" i="26"/>
  <c r="D82" i="26"/>
  <c r="C82" i="26"/>
  <c r="B82" i="26"/>
  <c r="A82" i="26"/>
  <c r="L81" i="26"/>
  <c r="K81" i="26"/>
  <c r="H81" i="26"/>
  <c r="G81" i="26"/>
  <c r="F81" i="26"/>
  <c r="E81" i="26"/>
  <c r="D81" i="26"/>
  <c r="C81" i="26"/>
  <c r="B81" i="26"/>
  <c r="A81" i="26"/>
  <c r="L80" i="26"/>
  <c r="K80" i="26"/>
  <c r="H80" i="26"/>
  <c r="G80" i="26"/>
  <c r="F80" i="26"/>
  <c r="E80" i="26"/>
  <c r="D80" i="26"/>
  <c r="C80" i="26"/>
  <c r="B80" i="26"/>
  <c r="A80" i="26"/>
  <c r="L79" i="26"/>
  <c r="K79" i="26"/>
  <c r="H79" i="26"/>
  <c r="G79" i="26"/>
  <c r="F79" i="26"/>
  <c r="E79" i="26"/>
  <c r="D79" i="26"/>
  <c r="C79" i="26"/>
  <c r="B79" i="26"/>
  <c r="A79" i="26"/>
  <c r="L78" i="26"/>
  <c r="K78" i="26"/>
  <c r="H78" i="26"/>
  <c r="G78" i="26"/>
  <c r="F78" i="26"/>
  <c r="E78" i="26"/>
  <c r="D78" i="26"/>
  <c r="C78" i="26"/>
  <c r="B78" i="26"/>
  <c r="A78" i="26"/>
  <c r="L77" i="26"/>
  <c r="K77" i="26"/>
  <c r="H77" i="26"/>
  <c r="G77" i="26"/>
  <c r="F77" i="26"/>
  <c r="E77" i="26"/>
  <c r="D77" i="26"/>
  <c r="C77" i="26"/>
  <c r="B77" i="26"/>
  <c r="A77" i="26"/>
  <c r="L76" i="26"/>
  <c r="K76" i="26"/>
  <c r="H76" i="26"/>
  <c r="G76" i="26"/>
  <c r="F76" i="26"/>
  <c r="E76" i="26"/>
  <c r="D76" i="26"/>
  <c r="C76" i="26"/>
  <c r="B76" i="26"/>
  <c r="A76" i="26"/>
  <c r="L75" i="26"/>
  <c r="K75" i="26"/>
  <c r="H75" i="26"/>
  <c r="G75" i="26"/>
  <c r="F75" i="26"/>
  <c r="E75" i="26"/>
  <c r="D75" i="26"/>
  <c r="C75" i="26"/>
  <c r="B75" i="26"/>
  <c r="A75" i="26"/>
  <c r="L74" i="26"/>
  <c r="K74" i="26"/>
  <c r="H74" i="26"/>
  <c r="G74" i="26"/>
  <c r="F74" i="26"/>
  <c r="E74" i="26"/>
  <c r="D74" i="26"/>
  <c r="C74" i="26"/>
  <c r="B74" i="26"/>
  <c r="A74" i="26"/>
  <c r="L73" i="26"/>
  <c r="K73" i="26"/>
  <c r="H73" i="26"/>
  <c r="G73" i="26"/>
  <c r="F73" i="26"/>
  <c r="E73" i="26"/>
  <c r="D73" i="26"/>
  <c r="C73" i="26"/>
  <c r="B73" i="26"/>
  <c r="A73" i="26"/>
  <c r="L72" i="26"/>
  <c r="K72" i="26"/>
  <c r="H72" i="26"/>
  <c r="G72" i="26"/>
  <c r="F72" i="26"/>
  <c r="E72" i="26"/>
  <c r="D72" i="26"/>
  <c r="C72" i="26"/>
  <c r="B72" i="26"/>
  <c r="A72" i="26"/>
  <c r="L71" i="26"/>
  <c r="K71" i="26"/>
  <c r="H71" i="26"/>
  <c r="G71" i="26"/>
  <c r="F71" i="26"/>
  <c r="E71" i="26"/>
  <c r="D71" i="26"/>
  <c r="C71" i="26"/>
  <c r="B71" i="26"/>
  <c r="A71" i="26"/>
  <c r="L70" i="26"/>
  <c r="K70" i="26"/>
  <c r="H70" i="26"/>
  <c r="G70" i="26"/>
  <c r="F70" i="26"/>
  <c r="E70" i="26"/>
  <c r="D70" i="26"/>
  <c r="C70" i="26"/>
  <c r="B70" i="26"/>
  <c r="A70" i="26"/>
  <c r="L69" i="26"/>
  <c r="K69" i="26"/>
  <c r="H69" i="26"/>
  <c r="G69" i="26"/>
  <c r="F69" i="26"/>
  <c r="E69" i="26"/>
  <c r="D69" i="26"/>
  <c r="C69" i="26"/>
  <c r="B69" i="26"/>
  <c r="A69" i="26"/>
  <c r="L68" i="26"/>
  <c r="K68" i="26"/>
  <c r="H68" i="26"/>
  <c r="G68" i="26"/>
  <c r="F68" i="26"/>
  <c r="E68" i="26"/>
  <c r="D68" i="26"/>
  <c r="C68" i="26"/>
  <c r="B68" i="26"/>
  <c r="A68" i="26"/>
  <c r="L67" i="26"/>
  <c r="K67" i="26"/>
  <c r="H67" i="26"/>
  <c r="G67" i="26"/>
  <c r="F67" i="26"/>
  <c r="E67" i="26"/>
  <c r="D67" i="26"/>
  <c r="C67" i="26"/>
  <c r="B67" i="26"/>
  <c r="A67" i="26"/>
  <c r="L66" i="26"/>
  <c r="K66" i="26"/>
  <c r="H66" i="26"/>
  <c r="G66" i="26"/>
  <c r="F66" i="26"/>
  <c r="E66" i="26"/>
  <c r="D66" i="26"/>
  <c r="C66" i="26"/>
  <c r="B66" i="26"/>
  <c r="A66" i="26"/>
  <c r="L65" i="26"/>
  <c r="K65" i="26"/>
  <c r="H65" i="26"/>
  <c r="G65" i="26"/>
  <c r="F65" i="26"/>
  <c r="E65" i="26"/>
  <c r="D65" i="26"/>
  <c r="C65" i="26"/>
  <c r="B65" i="26"/>
  <c r="A65" i="26"/>
  <c r="L64" i="26"/>
  <c r="K64" i="26"/>
  <c r="H64" i="26"/>
  <c r="G64" i="26"/>
  <c r="F64" i="26"/>
  <c r="E64" i="26"/>
  <c r="D64" i="26"/>
  <c r="C64" i="26"/>
  <c r="B64" i="26"/>
  <c r="A64" i="26"/>
  <c r="L63" i="26"/>
  <c r="K63" i="26"/>
  <c r="H63" i="26"/>
  <c r="G63" i="26"/>
  <c r="F63" i="26"/>
  <c r="E63" i="26"/>
  <c r="D63" i="26"/>
  <c r="C63" i="26"/>
  <c r="B63" i="26"/>
  <c r="A63" i="26"/>
  <c r="L62" i="26"/>
  <c r="K62" i="26"/>
  <c r="H62" i="26"/>
  <c r="G62" i="26"/>
  <c r="F62" i="26"/>
  <c r="E62" i="26"/>
  <c r="D62" i="26"/>
  <c r="C62" i="26"/>
  <c r="B62" i="26"/>
  <c r="A62" i="26"/>
  <c r="L61" i="26"/>
  <c r="K61" i="26"/>
  <c r="H61" i="26"/>
  <c r="G61" i="26"/>
  <c r="F61" i="26"/>
  <c r="E61" i="26"/>
  <c r="D61" i="26"/>
  <c r="C61" i="26"/>
  <c r="B61" i="26"/>
  <c r="A61" i="26"/>
  <c r="L60" i="26"/>
  <c r="K60" i="26"/>
  <c r="H60" i="26"/>
  <c r="G60" i="26"/>
  <c r="F60" i="26"/>
  <c r="E60" i="26"/>
  <c r="D60" i="26"/>
  <c r="C60" i="26"/>
  <c r="B60" i="26"/>
  <c r="A60" i="26"/>
  <c r="L59" i="26"/>
  <c r="K59" i="26"/>
  <c r="H59" i="26"/>
  <c r="G59" i="26"/>
  <c r="F59" i="26"/>
  <c r="E59" i="26"/>
  <c r="D59" i="26"/>
  <c r="C59" i="26"/>
  <c r="B59" i="26"/>
  <c r="A59" i="26"/>
  <c r="L58" i="26"/>
  <c r="K58" i="26"/>
  <c r="H58" i="26"/>
  <c r="G58" i="26"/>
  <c r="F58" i="26"/>
  <c r="E58" i="26"/>
  <c r="D58" i="26"/>
  <c r="C58" i="26"/>
  <c r="B58" i="26"/>
  <c r="A58" i="26"/>
  <c r="L57" i="26"/>
  <c r="K57" i="26"/>
  <c r="H57" i="26"/>
  <c r="G57" i="26"/>
  <c r="F57" i="26"/>
  <c r="E57" i="26"/>
  <c r="D57" i="26"/>
  <c r="C57" i="26"/>
  <c r="B57" i="26"/>
  <c r="A57" i="26"/>
  <c r="L56" i="26"/>
  <c r="K56" i="26"/>
  <c r="H56" i="26"/>
  <c r="G56" i="26"/>
  <c r="F56" i="26"/>
  <c r="E56" i="26"/>
  <c r="D56" i="26"/>
  <c r="C56" i="26"/>
  <c r="B56" i="26"/>
  <c r="A56" i="26"/>
  <c r="L55" i="26"/>
  <c r="K55" i="26"/>
  <c r="H55" i="26"/>
  <c r="G55" i="26"/>
  <c r="F55" i="26"/>
  <c r="E55" i="26"/>
  <c r="D55" i="26"/>
  <c r="C55" i="26"/>
  <c r="B55" i="26"/>
  <c r="A55" i="26"/>
  <c r="L54" i="26"/>
  <c r="K54" i="26"/>
  <c r="H54" i="26"/>
  <c r="G54" i="26"/>
  <c r="F54" i="26"/>
  <c r="E54" i="26"/>
  <c r="D54" i="26"/>
  <c r="C54" i="26"/>
  <c r="B54" i="26"/>
  <c r="A54" i="26"/>
  <c r="L53" i="26"/>
  <c r="K53" i="26"/>
  <c r="H53" i="26"/>
  <c r="G53" i="26"/>
  <c r="F53" i="26"/>
  <c r="E53" i="26"/>
  <c r="D53" i="26"/>
  <c r="C53" i="26"/>
  <c r="B53" i="26"/>
  <c r="A53" i="26"/>
  <c r="L52" i="26"/>
  <c r="K52" i="26"/>
  <c r="H52" i="26"/>
  <c r="G52" i="26"/>
  <c r="F52" i="26"/>
  <c r="E52" i="26"/>
  <c r="D52" i="26"/>
  <c r="C52" i="26"/>
  <c r="B52" i="26"/>
  <c r="A52" i="26"/>
  <c r="L51" i="26"/>
  <c r="K51" i="26"/>
  <c r="H51" i="26"/>
  <c r="G51" i="26"/>
  <c r="F51" i="26"/>
  <c r="E51" i="26"/>
  <c r="D51" i="26"/>
  <c r="C51" i="26"/>
  <c r="B51" i="26"/>
  <c r="A51" i="26"/>
  <c r="L50" i="26"/>
  <c r="K50" i="26"/>
  <c r="H50" i="26"/>
  <c r="G50" i="26"/>
  <c r="F50" i="26"/>
  <c r="E50" i="26"/>
  <c r="D50" i="26"/>
  <c r="C50" i="26"/>
  <c r="B50" i="26"/>
  <c r="A50" i="26"/>
  <c r="L49" i="26"/>
  <c r="K49" i="26"/>
  <c r="H49" i="26"/>
  <c r="G49" i="26"/>
  <c r="F49" i="26"/>
  <c r="E49" i="26"/>
  <c r="D49" i="26"/>
  <c r="C49" i="26"/>
  <c r="B49" i="26"/>
  <c r="A49" i="26"/>
  <c r="L48" i="26"/>
  <c r="K48" i="26"/>
  <c r="H48" i="26"/>
  <c r="G48" i="26"/>
  <c r="F48" i="26"/>
  <c r="E48" i="26"/>
  <c r="D48" i="26"/>
  <c r="C48" i="26"/>
  <c r="B48" i="26"/>
  <c r="A48" i="26"/>
  <c r="L47" i="26"/>
  <c r="K47" i="26"/>
  <c r="H47" i="26"/>
  <c r="G47" i="26"/>
  <c r="F47" i="26"/>
  <c r="E47" i="26"/>
  <c r="D47" i="26"/>
  <c r="C47" i="26"/>
  <c r="B47" i="26"/>
  <c r="A47" i="26"/>
  <c r="L46" i="26"/>
  <c r="K46" i="26"/>
  <c r="H46" i="26"/>
  <c r="G46" i="26"/>
  <c r="F46" i="26"/>
  <c r="E46" i="26"/>
  <c r="D46" i="26"/>
  <c r="C46" i="26"/>
  <c r="B46" i="26"/>
  <c r="A46" i="26"/>
  <c r="L45" i="26"/>
  <c r="K45" i="26"/>
  <c r="H45" i="26"/>
  <c r="G45" i="26"/>
  <c r="F45" i="26"/>
  <c r="E45" i="26"/>
  <c r="D45" i="26"/>
  <c r="C45" i="26"/>
  <c r="B45" i="26"/>
  <c r="A45" i="26"/>
  <c r="L44" i="26"/>
  <c r="K44" i="26"/>
  <c r="H44" i="26"/>
  <c r="G44" i="26"/>
  <c r="F44" i="26"/>
  <c r="E44" i="26"/>
  <c r="D44" i="26"/>
  <c r="C44" i="26"/>
  <c r="B44" i="26"/>
  <c r="A44" i="26"/>
  <c r="L43" i="26"/>
  <c r="K43" i="26"/>
  <c r="H43" i="26"/>
  <c r="G43" i="26"/>
  <c r="F43" i="26"/>
  <c r="E43" i="26"/>
  <c r="D43" i="26"/>
  <c r="C43" i="26"/>
  <c r="B43" i="26"/>
  <c r="A43" i="26"/>
  <c r="L42" i="26"/>
  <c r="K42" i="26"/>
  <c r="H42" i="26"/>
  <c r="G42" i="26"/>
  <c r="F42" i="26"/>
  <c r="E42" i="26"/>
  <c r="D42" i="26"/>
  <c r="C42" i="26"/>
  <c r="B42" i="26"/>
  <c r="A42" i="26"/>
  <c r="L41" i="26"/>
  <c r="K41" i="26"/>
  <c r="H41" i="26"/>
  <c r="G41" i="26"/>
  <c r="F41" i="26"/>
  <c r="E41" i="26"/>
  <c r="D41" i="26"/>
  <c r="C41" i="26"/>
  <c r="B41" i="26"/>
  <c r="A41" i="26"/>
  <c r="L40" i="26"/>
  <c r="K40" i="26"/>
  <c r="H40" i="26"/>
  <c r="G40" i="26"/>
  <c r="F40" i="26"/>
  <c r="E40" i="26"/>
  <c r="D40" i="26"/>
  <c r="C40" i="26"/>
  <c r="B40" i="26"/>
  <c r="A40" i="26"/>
  <c r="L39" i="26"/>
  <c r="K39" i="26"/>
  <c r="H39" i="26"/>
  <c r="G39" i="26"/>
  <c r="F39" i="26"/>
  <c r="E39" i="26"/>
  <c r="D39" i="26"/>
  <c r="C39" i="26"/>
  <c r="B39" i="26"/>
  <c r="A39" i="26"/>
  <c r="L38" i="26"/>
  <c r="K38" i="26"/>
  <c r="H38" i="26"/>
  <c r="G38" i="26"/>
  <c r="F38" i="26"/>
  <c r="E38" i="26"/>
  <c r="D38" i="26"/>
  <c r="C38" i="26"/>
  <c r="B38" i="26"/>
  <c r="A38" i="26"/>
  <c r="L37" i="26"/>
  <c r="K37" i="26"/>
  <c r="H37" i="26"/>
  <c r="G37" i="26"/>
  <c r="F37" i="26"/>
  <c r="E37" i="26"/>
  <c r="D37" i="26"/>
  <c r="C37" i="26"/>
  <c r="B37" i="26"/>
  <c r="A37" i="26"/>
  <c r="L36" i="26"/>
  <c r="K36" i="26"/>
  <c r="H36" i="26"/>
  <c r="G36" i="26"/>
  <c r="F36" i="26"/>
  <c r="E36" i="26"/>
  <c r="D36" i="26"/>
  <c r="C36" i="26"/>
  <c r="B36" i="26"/>
  <c r="A36" i="26"/>
  <c r="L35" i="26"/>
  <c r="K35" i="26"/>
  <c r="H35" i="26"/>
  <c r="G35" i="26"/>
  <c r="F35" i="26"/>
  <c r="E35" i="26"/>
  <c r="D35" i="26"/>
  <c r="C35" i="26"/>
  <c r="B35" i="26"/>
  <c r="A35" i="26"/>
  <c r="L34" i="26"/>
  <c r="K34" i="26"/>
  <c r="H34" i="26"/>
  <c r="G34" i="26"/>
  <c r="F34" i="26"/>
  <c r="E34" i="26"/>
  <c r="D34" i="26"/>
  <c r="C34" i="26"/>
  <c r="B34" i="26"/>
  <c r="A34" i="26"/>
  <c r="L33" i="26"/>
  <c r="K33" i="26"/>
  <c r="H33" i="26"/>
  <c r="G33" i="26"/>
  <c r="F33" i="26"/>
  <c r="E33" i="26"/>
  <c r="D33" i="26"/>
  <c r="C33" i="26"/>
  <c r="B33" i="26"/>
  <c r="A33" i="26"/>
  <c r="L32" i="26"/>
  <c r="K32" i="26"/>
  <c r="H32" i="26"/>
  <c r="G32" i="26"/>
  <c r="F32" i="26"/>
  <c r="E32" i="26"/>
  <c r="D32" i="26"/>
  <c r="C32" i="26"/>
  <c r="B32" i="26"/>
  <c r="A32" i="26"/>
  <c r="L31" i="26"/>
  <c r="K31" i="26"/>
  <c r="H31" i="26"/>
  <c r="G31" i="26"/>
  <c r="F31" i="26"/>
  <c r="E31" i="26"/>
  <c r="D31" i="26"/>
  <c r="C31" i="26"/>
  <c r="B31" i="26"/>
  <c r="A31" i="26"/>
  <c r="L30" i="26"/>
  <c r="K30" i="26"/>
  <c r="H30" i="26"/>
  <c r="G30" i="26"/>
  <c r="F30" i="26"/>
  <c r="E30" i="26"/>
  <c r="D30" i="26"/>
  <c r="C30" i="26"/>
  <c r="B30" i="26"/>
  <c r="A30" i="26"/>
  <c r="L29" i="26"/>
  <c r="K29" i="26"/>
  <c r="H29" i="26"/>
  <c r="G29" i="26"/>
  <c r="F29" i="26"/>
  <c r="E29" i="26"/>
  <c r="D29" i="26"/>
  <c r="C29" i="26"/>
  <c r="B29" i="26"/>
  <c r="A29" i="26"/>
  <c r="L28" i="26"/>
  <c r="K28" i="26"/>
  <c r="H28" i="26"/>
  <c r="G28" i="26"/>
  <c r="F28" i="26"/>
  <c r="E28" i="26"/>
  <c r="D28" i="26"/>
  <c r="C28" i="26"/>
  <c r="B28" i="26"/>
  <c r="A28" i="26"/>
  <c r="L27" i="26"/>
  <c r="K27" i="26"/>
  <c r="H27" i="26"/>
  <c r="G27" i="26"/>
  <c r="F27" i="26"/>
  <c r="E27" i="26"/>
  <c r="D27" i="26"/>
  <c r="C27" i="26"/>
  <c r="B27" i="26"/>
  <c r="A27" i="26"/>
  <c r="L26" i="26"/>
  <c r="K26" i="26"/>
  <c r="H26" i="26"/>
  <c r="G26" i="26"/>
  <c r="F26" i="26"/>
  <c r="E26" i="26"/>
  <c r="D26" i="26"/>
  <c r="C26" i="26"/>
  <c r="B26" i="26"/>
  <c r="A26" i="26"/>
  <c r="L25" i="26"/>
  <c r="K25" i="26"/>
  <c r="H25" i="26"/>
  <c r="G25" i="26"/>
  <c r="F25" i="26"/>
  <c r="E25" i="26"/>
  <c r="D25" i="26"/>
  <c r="C25" i="26"/>
  <c r="B25" i="26"/>
  <c r="A25" i="26"/>
  <c r="L24" i="26"/>
  <c r="K24" i="26"/>
  <c r="H24" i="26"/>
  <c r="G24" i="26"/>
  <c r="F24" i="26"/>
  <c r="E24" i="26"/>
  <c r="D24" i="26"/>
  <c r="C24" i="26"/>
  <c r="B24" i="26"/>
  <c r="A24" i="26"/>
  <c r="L23" i="26"/>
  <c r="K23" i="26"/>
  <c r="H23" i="26"/>
  <c r="G23" i="26"/>
  <c r="F23" i="26"/>
  <c r="E23" i="26"/>
  <c r="D23" i="26"/>
  <c r="C23" i="26"/>
  <c r="B23" i="26"/>
  <c r="A23" i="26"/>
  <c r="L22" i="26"/>
  <c r="K22" i="26"/>
  <c r="H22" i="26"/>
  <c r="G22" i="26"/>
  <c r="F22" i="26"/>
  <c r="E22" i="26"/>
  <c r="D22" i="26"/>
  <c r="C22" i="26"/>
  <c r="B22" i="26"/>
  <c r="A22" i="26"/>
  <c r="L21" i="26"/>
  <c r="K21" i="26"/>
  <c r="H21" i="26"/>
  <c r="G21" i="26"/>
  <c r="F21" i="26"/>
  <c r="E21" i="26"/>
  <c r="D21" i="26"/>
  <c r="C21" i="26"/>
  <c r="B21" i="26"/>
  <c r="A21" i="26"/>
  <c r="L20" i="26"/>
  <c r="K20" i="26"/>
  <c r="H20" i="26"/>
  <c r="G20" i="26"/>
  <c r="F20" i="26"/>
  <c r="E20" i="26"/>
  <c r="D20" i="26"/>
  <c r="C20" i="26"/>
  <c r="B20" i="26"/>
  <c r="A20" i="26"/>
  <c r="L19" i="26"/>
  <c r="K19" i="26"/>
  <c r="H19" i="26"/>
  <c r="G19" i="26"/>
  <c r="F19" i="26"/>
  <c r="E19" i="26"/>
  <c r="D19" i="26"/>
  <c r="C19" i="26"/>
  <c r="B19" i="26"/>
  <c r="A19" i="26"/>
  <c r="L18" i="26"/>
  <c r="K18" i="26"/>
  <c r="H18" i="26"/>
  <c r="G18" i="26"/>
  <c r="F18" i="26"/>
  <c r="E18" i="26"/>
  <c r="D18" i="26"/>
  <c r="C18" i="26"/>
  <c r="B18" i="26"/>
  <c r="A18" i="26"/>
  <c r="L17" i="26"/>
  <c r="K17" i="26"/>
  <c r="H17" i="26"/>
  <c r="G17" i="26"/>
  <c r="F17" i="26"/>
  <c r="E17" i="26"/>
  <c r="D17" i="26"/>
  <c r="C17" i="26"/>
  <c r="B17" i="26"/>
  <c r="A17" i="26"/>
  <c r="L16" i="26"/>
  <c r="K16" i="26"/>
  <c r="H16" i="26"/>
  <c r="G16" i="26"/>
  <c r="F16" i="26"/>
  <c r="E16" i="26"/>
  <c r="D16" i="26"/>
  <c r="C16" i="26"/>
  <c r="B16" i="26"/>
  <c r="A16" i="26"/>
  <c r="L15" i="26"/>
  <c r="K15" i="26"/>
  <c r="H15" i="26"/>
  <c r="G15" i="26"/>
  <c r="F15" i="26"/>
  <c r="E15" i="26"/>
  <c r="D15" i="26"/>
  <c r="C15" i="26"/>
  <c r="B15" i="26"/>
  <c r="A15" i="26"/>
  <c r="L14" i="26"/>
  <c r="K14" i="26"/>
  <c r="H14" i="26"/>
  <c r="G14" i="26"/>
  <c r="F14" i="26"/>
  <c r="E14" i="26"/>
  <c r="D14" i="26"/>
  <c r="C14" i="26"/>
  <c r="B14" i="26"/>
  <c r="A14" i="26"/>
  <c r="L13" i="26"/>
  <c r="K13" i="26"/>
  <c r="H13" i="26"/>
  <c r="G13" i="26"/>
  <c r="F13" i="26"/>
  <c r="E13" i="26"/>
  <c r="D13" i="26"/>
  <c r="C13" i="26"/>
  <c r="B13" i="26"/>
  <c r="A13" i="26"/>
  <c r="L12" i="26"/>
  <c r="K12" i="26"/>
  <c r="H12" i="26"/>
  <c r="G12" i="26"/>
  <c r="F12" i="26"/>
  <c r="E12" i="26"/>
  <c r="D12" i="26"/>
  <c r="C12" i="26"/>
  <c r="B12" i="26"/>
  <c r="A12" i="26"/>
  <c r="L11" i="26"/>
  <c r="K11" i="26"/>
  <c r="H11" i="26"/>
  <c r="G11" i="26"/>
  <c r="F11" i="26"/>
  <c r="E11" i="26"/>
  <c r="D11" i="26"/>
  <c r="C11" i="26"/>
  <c r="B11" i="26"/>
  <c r="A11" i="26"/>
  <c r="L10" i="26"/>
  <c r="K10" i="26"/>
  <c r="H10" i="26"/>
  <c r="G10" i="26"/>
  <c r="F10" i="26"/>
  <c r="E10" i="26"/>
  <c r="D10" i="26"/>
  <c r="C10" i="26"/>
  <c r="B10" i="26"/>
  <c r="A10" i="26"/>
  <c r="L9" i="26"/>
  <c r="K9" i="26"/>
  <c r="H9" i="26"/>
  <c r="G9" i="26"/>
  <c r="F9" i="26"/>
  <c r="E9" i="26"/>
  <c r="D9" i="26"/>
  <c r="C9" i="26"/>
  <c r="B9" i="26"/>
  <c r="A9" i="26"/>
  <c r="L8" i="26"/>
  <c r="K8" i="26"/>
  <c r="H8" i="26"/>
  <c r="G8" i="26"/>
  <c r="F8" i="26"/>
  <c r="E8" i="26"/>
  <c r="D8" i="26"/>
  <c r="C8" i="26"/>
  <c r="B8" i="26"/>
  <c r="A8" i="26"/>
  <c r="K7" i="26"/>
  <c r="H7" i="26"/>
  <c r="G7" i="26"/>
  <c r="F7" i="26"/>
  <c r="E7" i="26"/>
  <c r="D7" i="26"/>
  <c r="C7" i="26"/>
  <c r="B7" i="26"/>
  <c r="A7" i="26"/>
  <c r="J2" i="26"/>
  <c r="D34" i="1" s="1"/>
  <c r="L110" i="25"/>
  <c r="K110" i="25"/>
  <c r="H110" i="25"/>
  <c r="G110" i="25"/>
  <c r="F110" i="25"/>
  <c r="E110" i="25"/>
  <c r="D110" i="25"/>
  <c r="C110" i="25"/>
  <c r="B110" i="25"/>
  <c r="A110" i="25"/>
  <c r="L109" i="25"/>
  <c r="K109" i="25"/>
  <c r="H109" i="25"/>
  <c r="G109" i="25"/>
  <c r="F109" i="25"/>
  <c r="E109" i="25"/>
  <c r="D109" i="25"/>
  <c r="C109" i="25"/>
  <c r="B109" i="25"/>
  <c r="A109" i="25"/>
  <c r="L108" i="25"/>
  <c r="K108" i="25"/>
  <c r="H108" i="25"/>
  <c r="G108" i="25"/>
  <c r="F108" i="25"/>
  <c r="E108" i="25"/>
  <c r="D108" i="25"/>
  <c r="C108" i="25"/>
  <c r="B108" i="25"/>
  <c r="A108" i="25"/>
  <c r="L107" i="25"/>
  <c r="K107" i="25"/>
  <c r="H107" i="25"/>
  <c r="G107" i="25"/>
  <c r="F107" i="25"/>
  <c r="E107" i="25"/>
  <c r="D107" i="25"/>
  <c r="C107" i="25"/>
  <c r="B107" i="25"/>
  <c r="A107" i="25"/>
  <c r="L106" i="25"/>
  <c r="K106" i="25"/>
  <c r="H106" i="25"/>
  <c r="G106" i="25"/>
  <c r="F106" i="25"/>
  <c r="E106" i="25"/>
  <c r="D106" i="25"/>
  <c r="C106" i="25"/>
  <c r="B106" i="25"/>
  <c r="A106" i="25"/>
  <c r="L105" i="25"/>
  <c r="K105" i="25"/>
  <c r="H105" i="25"/>
  <c r="G105" i="25"/>
  <c r="F105" i="25"/>
  <c r="E105" i="25"/>
  <c r="D105" i="25"/>
  <c r="C105" i="25"/>
  <c r="B105" i="25"/>
  <c r="A105" i="25"/>
  <c r="L104" i="25"/>
  <c r="K104" i="25"/>
  <c r="H104" i="25"/>
  <c r="G104" i="25"/>
  <c r="F104" i="25"/>
  <c r="E104" i="25"/>
  <c r="D104" i="25"/>
  <c r="C104" i="25"/>
  <c r="B104" i="25"/>
  <c r="A104" i="25"/>
  <c r="L103" i="25"/>
  <c r="K103" i="25"/>
  <c r="H103" i="25"/>
  <c r="G103" i="25"/>
  <c r="F103" i="25"/>
  <c r="E103" i="25"/>
  <c r="D103" i="25"/>
  <c r="C103" i="25"/>
  <c r="B103" i="25"/>
  <c r="A103" i="25"/>
  <c r="L102" i="25"/>
  <c r="K102" i="25"/>
  <c r="H102" i="25"/>
  <c r="G102" i="25"/>
  <c r="F102" i="25"/>
  <c r="E102" i="25"/>
  <c r="D102" i="25"/>
  <c r="C102" i="25"/>
  <c r="B102" i="25"/>
  <c r="A102" i="25"/>
  <c r="L101" i="25"/>
  <c r="K101" i="25"/>
  <c r="H101" i="25"/>
  <c r="G101" i="25"/>
  <c r="F101" i="25"/>
  <c r="E101" i="25"/>
  <c r="D101" i="25"/>
  <c r="C101" i="25"/>
  <c r="B101" i="25"/>
  <c r="A101" i="25"/>
  <c r="L100" i="25"/>
  <c r="K100" i="25"/>
  <c r="H100" i="25"/>
  <c r="G100" i="25"/>
  <c r="F100" i="25"/>
  <c r="E100" i="25"/>
  <c r="D100" i="25"/>
  <c r="C100" i="25"/>
  <c r="B100" i="25"/>
  <c r="A100" i="25"/>
  <c r="L99" i="25"/>
  <c r="K99" i="25"/>
  <c r="H99" i="25"/>
  <c r="G99" i="25"/>
  <c r="F99" i="25"/>
  <c r="E99" i="25"/>
  <c r="D99" i="25"/>
  <c r="C99" i="25"/>
  <c r="B99" i="25"/>
  <c r="A99" i="25"/>
  <c r="L98" i="25"/>
  <c r="K98" i="25"/>
  <c r="H98" i="25"/>
  <c r="G98" i="25"/>
  <c r="F98" i="25"/>
  <c r="E98" i="25"/>
  <c r="D98" i="25"/>
  <c r="C98" i="25"/>
  <c r="B98" i="25"/>
  <c r="A98" i="25"/>
  <c r="L97" i="25"/>
  <c r="K97" i="25"/>
  <c r="H97" i="25"/>
  <c r="G97" i="25"/>
  <c r="F97" i="25"/>
  <c r="E97" i="25"/>
  <c r="D97" i="25"/>
  <c r="C97" i="25"/>
  <c r="B97" i="25"/>
  <c r="A97" i="25"/>
  <c r="L96" i="25"/>
  <c r="K96" i="25"/>
  <c r="H96" i="25"/>
  <c r="G96" i="25"/>
  <c r="F96" i="25"/>
  <c r="E96" i="25"/>
  <c r="D96" i="25"/>
  <c r="C96" i="25"/>
  <c r="B96" i="25"/>
  <c r="A96" i="25"/>
  <c r="L95" i="25"/>
  <c r="K95" i="25"/>
  <c r="H95" i="25"/>
  <c r="G95" i="25"/>
  <c r="F95" i="25"/>
  <c r="E95" i="25"/>
  <c r="D95" i="25"/>
  <c r="C95" i="25"/>
  <c r="B95" i="25"/>
  <c r="A95" i="25"/>
  <c r="L94" i="25"/>
  <c r="K94" i="25"/>
  <c r="H94" i="25"/>
  <c r="G94" i="25"/>
  <c r="F94" i="25"/>
  <c r="E94" i="25"/>
  <c r="D94" i="25"/>
  <c r="C94" i="25"/>
  <c r="B94" i="25"/>
  <c r="A94" i="25"/>
  <c r="L93" i="25"/>
  <c r="K93" i="25"/>
  <c r="H93" i="25"/>
  <c r="G93" i="25"/>
  <c r="F93" i="25"/>
  <c r="E93" i="25"/>
  <c r="D93" i="25"/>
  <c r="C93" i="25"/>
  <c r="B93" i="25"/>
  <c r="A93" i="25"/>
  <c r="L92" i="25"/>
  <c r="K92" i="25"/>
  <c r="H92" i="25"/>
  <c r="G92" i="25"/>
  <c r="F92" i="25"/>
  <c r="E92" i="25"/>
  <c r="D92" i="25"/>
  <c r="C92" i="25"/>
  <c r="B92" i="25"/>
  <c r="A92" i="25"/>
  <c r="L91" i="25"/>
  <c r="K91" i="25"/>
  <c r="H91" i="25"/>
  <c r="G91" i="25"/>
  <c r="F91" i="25"/>
  <c r="E91" i="25"/>
  <c r="D91" i="25"/>
  <c r="C91" i="25"/>
  <c r="B91" i="25"/>
  <c r="A91" i="25"/>
  <c r="L90" i="25"/>
  <c r="K90" i="25"/>
  <c r="H90" i="25"/>
  <c r="G90" i="25"/>
  <c r="F90" i="25"/>
  <c r="E90" i="25"/>
  <c r="D90" i="25"/>
  <c r="C90" i="25"/>
  <c r="B90" i="25"/>
  <c r="A90" i="25"/>
  <c r="L89" i="25"/>
  <c r="K89" i="25"/>
  <c r="H89" i="25"/>
  <c r="G89" i="25"/>
  <c r="F89" i="25"/>
  <c r="E89" i="25"/>
  <c r="D89" i="25"/>
  <c r="C89" i="25"/>
  <c r="B89" i="25"/>
  <c r="A89" i="25"/>
  <c r="L88" i="25"/>
  <c r="K88" i="25"/>
  <c r="H88" i="25"/>
  <c r="G88" i="25"/>
  <c r="F88" i="25"/>
  <c r="E88" i="25"/>
  <c r="D88" i="25"/>
  <c r="C88" i="25"/>
  <c r="B88" i="25"/>
  <c r="A88" i="25"/>
  <c r="L87" i="25"/>
  <c r="K87" i="25"/>
  <c r="H87" i="25"/>
  <c r="G87" i="25"/>
  <c r="F87" i="25"/>
  <c r="E87" i="25"/>
  <c r="D87" i="25"/>
  <c r="C87" i="25"/>
  <c r="B87" i="25"/>
  <c r="A87" i="25"/>
  <c r="L86" i="25"/>
  <c r="K86" i="25"/>
  <c r="H86" i="25"/>
  <c r="G86" i="25"/>
  <c r="F86" i="25"/>
  <c r="E86" i="25"/>
  <c r="D86" i="25"/>
  <c r="C86" i="25"/>
  <c r="B86" i="25"/>
  <c r="A86" i="25"/>
  <c r="L85" i="25"/>
  <c r="K85" i="25"/>
  <c r="H85" i="25"/>
  <c r="G85" i="25"/>
  <c r="F85" i="25"/>
  <c r="E85" i="25"/>
  <c r="D85" i="25"/>
  <c r="C85" i="25"/>
  <c r="B85" i="25"/>
  <c r="A85" i="25"/>
  <c r="L84" i="25"/>
  <c r="K84" i="25"/>
  <c r="H84" i="25"/>
  <c r="G84" i="25"/>
  <c r="F84" i="25"/>
  <c r="E84" i="25"/>
  <c r="D84" i="25"/>
  <c r="C84" i="25"/>
  <c r="B84" i="25"/>
  <c r="A84" i="25"/>
  <c r="L83" i="25"/>
  <c r="K83" i="25"/>
  <c r="H83" i="25"/>
  <c r="G83" i="25"/>
  <c r="F83" i="25"/>
  <c r="E83" i="25"/>
  <c r="D83" i="25"/>
  <c r="C83" i="25"/>
  <c r="B83" i="25"/>
  <c r="A83" i="25"/>
  <c r="L82" i="25"/>
  <c r="K82" i="25"/>
  <c r="H82" i="25"/>
  <c r="G82" i="25"/>
  <c r="F82" i="25"/>
  <c r="E82" i="25"/>
  <c r="D82" i="25"/>
  <c r="C82" i="25"/>
  <c r="B82" i="25"/>
  <c r="A82" i="25"/>
  <c r="L81" i="25"/>
  <c r="K81" i="25"/>
  <c r="H81" i="25"/>
  <c r="G81" i="25"/>
  <c r="F81" i="25"/>
  <c r="E81" i="25"/>
  <c r="D81" i="25"/>
  <c r="C81" i="25"/>
  <c r="B81" i="25"/>
  <c r="A81" i="25"/>
  <c r="L80" i="25"/>
  <c r="K80" i="25"/>
  <c r="H80" i="25"/>
  <c r="G80" i="25"/>
  <c r="F80" i="25"/>
  <c r="E80" i="25"/>
  <c r="D80" i="25"/>
  <c r="C80" i="25"/>
  <c r="B80" i="25"/>
  <c r="A80" i="25"/>
  <c r="L79" i="25"/>
  <c r="K79" i="25"/>
  <c r="H79" i="25"/>
  <c r="G79" i="25"/>
  <c r="F79" i="25"/>
  <c r="E79" i="25"/>
  <c r="D79" i="25"/>
  <c r="C79" i="25"/>
  <c r="B79" i="25"/>
  <c r="A79" i="25"/>
  <c r="L78" i="25"/>
  <c r="K78" i="25"/>
  <c r="H78" i="25"/>
  <c r="G78" i="25"/>
  <c r="F78" i="25"/>
  <c r="E78" i="25"/>
  <c r="D78" i="25"/>
  <c r="C78" i="25"/>
  <c r="B78" i="25"/>
  <c r="A78" i="25"/>
  <c r="L77" i="25"/>
  <c r="K77" i="25"/>
  <c r="H77" i="25"/>
  <c r="G77" i="25"/>
  <c r="F77" i="25"/>
  <c r="E77" i="25"/>
  <c r="D77" i="25"/>
  <c r="C77" i="25"/>
  <c r="B77" i="25"/>
  <c r="A77" i="25"/>
  <c r="L76" i="25"/>
  <c r="K76" i="25"/>
  <c r="H76" i="25"/>
  <c r="G76" i="25"/>
  <c r="F76" i="25"/>
  <c r="E76" i="25"/>
  <c r="D76" i="25"/>
  <c r="C76" i="25"/>
  <c r="B76" i="25"/>
  <c r="A76" i="25"/>
  <c r="L75" i="25"/>
  <c r="K75" i="25"/>
  <c r="H75" i="25"/>
  <c r="G75" i="25"/>
  <c r="F75" i="25"/>
  <c r="E75" i="25"/>
  <c r="D75" i="25"/>
  <c r="C75" i="25"/>
  <c r="B75" i="25"/>
  <c r="A75" i="25"/>
  <c r="L74" i="25"/>
  <c r="K74" i="25"/>
  <c r="H74" i="25"/>
  <c r="G74" i="25"/>
  <c r="F74" i="25"/>
  <c r="E74" i="25"/>
  <c r="D74" i="25"/>
  <c r="C74" i="25"/>
  <c r="B74" i="25"/>
  <c r="A74" i="25"/>
  <c r="L73" i="25"/>
  <c r="K73" i="25"/>
  <c r="H73" i="25"/>
  <c r="G73" i="25"/>
  <c r="F73" i="25"/>
  <c r="E73" i="25"/>
  <c r="D73" i="25"/>
  <c r="C73" i="25"/>
  <c r="B73" i="25"/>
  <c r="A73" i="25"/>
  <c r="L72" i="25"/>
  <c r="K72" i="25"/>
  <c r="H72" i="25"/>
  <c r="G72" i="25"/>
  <c r="F72" i="25"/>
  <c r="E72" i="25"/>
  <c r="D72" i="25"/>
  <c r="C72" i="25"/>
  <c r="B72" i="25"/>
  <c r="A72" i="25"/>
  <c r="L71" i="25"/>
  <c r="K71" i="25"/>
  <c r="H71" i="25"/>
  <c r="G71" i="25"/>
  <c r="F71" i="25"/>
  <c r="E71" i="25"/>
  <c r="D71" i="25"/>
  <c r="C71" i="25"/>
  <c r="B71" i="25"/>
  <c r="A71" i="25"/>
  <c r="L70" i="25"/>
  <c r="K70" i="25"/>
  <c r="H70" i="25"/>
  <c r="G70" i="25"/>
  <c r="F70" i="25"/>
  <c r="E70" i="25"/>
  <c r="D70" i="25"/>
  <c r="C70" i="25"/>
  <c r="B70" i="25"/>
  <c r="A70" i="25"/>
  <c r="L69" i="25"/>
  <c r="K69" i="25"/>
  <c r="H69" i="25"/>
  <c r="G69" i="25"/>
  <c r="F69" i="25"/>
  <c r="E69" i="25"/>
  <c r="D69" i="25"/>
  <c r="C69" i="25"/>
  <c r="B69" i="25"/>
  <c r="A69" i="25"/>
  <c r="L68" i="25"/>
  <c r="K68" i="25"/>
  <c r="H68" i="25"/>
  <c r="G68" i="25"/>
  <c r="F68" i="25"/>
  <c r="E68" i="25"/>
  <c r="D68" i="25"/>
  <c r="C68" i="25"/>
  <c r="B68" i="25"/>
  <c r="A68" i="25"/>
  <c r="L67" i="25"/>
  <c r="K67" i="25"/>
  <c r="H67" i="25"/>
  <c r="G67" i="25"/>
  <c r="F67" i="25"/>
  <c r="E67" i="25"/>
  <c r="D67" i="25"/>
  <c r="C67" i="25"/>
  <c r="B67" i="25"/>
  <c r="A67" i="25"/>
  <c r="L66" i="25"/>
  <c r="K66" i="25"/>
  <c r="H66" i="25"/>
  <c r="G66" i="25"/>
  <c r="F66" i="25"/>
  <c r="E66" i="25"/>
  <c r="D66" i="25"/>
  <c r="C66" i="25"/>
  <c r="B66" i="25"/>
  <c r="A66" i="25"/>
  <c r="L65" i="25"/>
  <c r="K65" i="25"/>
  <c r="H65" i="25"/>
  <c r="G65" i="25"/>
  <c r="F65" i="25"/>
  <c r="E65" i="25"/>
  <c r="D65" i="25"/>
  <c r="C65" i="25"/>
  <c r="B65" i="25"/>
  <c r="A65" i="25"/>
  <c r="L64" i="25"/>
  <c r="K64" i="25"/>
  <c r="H64" i="25"/>
  <c r="G64" i="25"/>
  <c r="F64" i="25"/>
  <c r="E64" i="25"/>
  <c r="D64" i="25"/>
  <c r="C64" i="25"/>
  <c r="B64" i="25"/>
  <c r="A64" i="25"/>
  <c r="L63" i="25"/>
  <c r="K63" i="25"/>
  <c r="H63" i="25"/>
  <c r="G63" i="25"/>
  <c r="F63" i="25"/>
  <c r="E63" i="25"/>
  <c r="D63" i="25"/>
  <c r="C63" i="25"/>
  <c r="B63" i="25"/>
  <c r="A63" i="25"/>
  <c r="L62" i="25"/>
  <c r="K62" i="25"/>
  <c r="H62" i="25"/>
  <c r="G62" i="25"/>
  <c r="F62" i="25"/>
  <c r="E62" i="25"/>
  <c r="D62" i="25"/>
  <c r="C62" i="25"/>
  <c r="B62" i="25"/>
  <c r="A62" i="25"/>
  <c r="L61" i="25"/>
  <c r="K61" i="25"/>
  <c r="H61" i="25"/>
  <c r="G61" i="25"/>
  <c r="F61" i="25"/>
  <c r="E61" i="25"/>
  <c r="D61" i="25"/>
  <c r="C61" i="25"/>
  <c r="B61" i="25"/>
  <c r="A61" i="25"/>
  <c r="L60" i="25"/>
  <c r="K60" i="25"/>
  <c r="H60" i="25"/>
  <c r="G60" i="25"/>
  <c r="F60" i="25"/>
  <c r="E60" i="25"/>
  <c r="D60" i="25"/>
  <c r="C60" i="25"/>
  <c r="B60" i="25"/>
  <c r="A60" i="25"/>
  <c r="L59" i="25"/>
  <c r="K59" i="25"/>
  <c r="H59" i="25"/>
  <c r="G59" i="25"/>
  <c r="F59" i="25"/>
  <c r="E59" i="25"/>
  <c r="D59" i="25"/>
  <c r="C59" i="25"/>
  <c r="B59" i="25"/>
  <c r="A59" i="25"/>
  <c r="L58" i="25"/>
  <c r="K58" i="25"/>
  <c r="H58" i="25"/>
  <c r="G58" i="25"/>
  <c r="F58" i="25"/>
  <c r="E58" i="25"/>
  <c r="D58" i="25"/>
  <c r="C58" i="25"/>
  <c r="B58" i="25"/>
  <c r="A58" i="25"/>
  <c r="L57" i="25"/>
  <c r="K57" i="25"/>
  <c r="H57" i="25"/>
  <c r="G57" i="25"/>
  <c r="F57" i="25"/>
  <c r="E57" i="25"/>
  <c r="D57" i="25"/>
  <c r="C57" i="25"/>
  <c r="B57" i="25"/>
  <c r="A57" i="25"/>
  <c r="L56" i="25"/>
  <c r="K56" i="25"/>
  <c r="H56" i="25"/>
  <c r="G56" i="25"/>
  <c r="F56" i="25"/>
  <c r="E56" i="25"/>
  <c r="D56" i="25"/>
  <c r="C56" i="25"/>
  <c r="B56" i="25"/>
  <c r="A56" i="25"/>
  <c r="L55" i="25"/>
  <c r="K55" i="25"/>
  <c r="H55" i="25"/>
  <c r="G55" i="25"/>
  <c r="F55" i="25"/>
  <c r="E55" i="25"/>
  <c r="D55" i="25"/>
  <c r="C55" i="25"/>
  <c r="B55" i="25"/>
  <c r="A55" i="25"/>
  <c r="L54" i="25"/>
  <c r="K54" i="25"/>
  <c r="H54" i="25"/>
  <c r="G54" i="25"/>
  <c r="F54" i="25"/>
  <c r="E54" i="25"/>
  <c r="D54" i="25"/>
  <c r="C54" i="25"/>
  <c r="B54" i="25"/>
  <c r="A54" i="25"/>
  <c r="L53" i="25"/>
  <c r="K53" i="25"/>
  <c r="H53" i="25"/>
  <c r="G53" i="25"/>
  <c r="F53" i="25"/>
  <c r="E53" i="25"/>
  <c r="D53" i="25"/>
  <c r="C53" i="25"/>
  <c r="B53" i="25"/>
  <c r="A53" i="25"/>
  <c r="L52" i="25"/>
  <c r="K52" i="25"/>
  <c r="H52" i="25"/>
  <c r="G52" i="25"/>
  <c r="F52" i="25"/>
  <c r="E52" i="25"/>
  <c r="D52" i="25"/>
  <c r="C52" i="25"/>
  <c r="B52" i="25"/>
  <c r="A52" i="25"/>
  <c r="L51" i="25"/>
  <c r="K51" i="25"/>
  <c r="H51" i="25"/>
  <c r="G51" i="25"/>
  <c r="F51" i="25"/>
  <c r="E51" i="25"/>
  <c r="D51" i="25"/>
  <c r="C51" i="25"/>
  <c r="B51" i="25"/>
  <c r="A51" i="25"/>
  <c r="L50" i="25"/>
  <c r="K50" i="25"/>
  <c r="H50" i="25"/>
  <c r="G50" i="25"/>
  <c r="F50" i="25"/>
  <c r="E50" i="25"/>
  <c r="D50" i="25"/>
  <c r="C50" i="25"/>
  <c r="B50" i="25"/>
  <c r="A50" i="25"/>
  <c r="L49" i="25"/>
  <c r="K49" i="25"/>
  <c r="H49" i="25"/>
  <c r="G49" i="25"/>
  <c r="F49" i="25"/>
  <c r="E49" i="25"/>
  <c r="D49" i="25"/>
  <c r="C49" i="25"/>
  <c r="B49" i="25"/>
  <c r="A49" i="25"/>
  <c r="L48" i="25"/>
  <c r="K48" i="25"/>
  <c r="H48" i="25"/>
  <c r="G48" i="25"/>
  <c r="F48" i="25"/>
  <c r="E48" i="25"/>
  <c r="D48" i="25"/>
  <c r="C48" i="25"/>
  <c r="B48" i="25"/>
  <c r="A48" i="25"/>
  <c r="L47" i="25"/>
  <c r="K47" i="25"/>
  <c r="H47" i="25"/>
  <c r="G47" i="25"/>
  <c r="F47" i="25"/>
  <c r="E47" i="25"/>
  <c r="D47" i="25"/>
  <c r="C47" i="25"/>
  <c r="B47" i="25"/>
  <c r="A47" i="25"/>
  <c r="L46" i="25"/>
  <c r="K46" i="25"/>
  <c r="H46" i="25"/>
  <c r="G46" i="25"/>
  <c r="F46" i="25"/>
  <c r="E46" i="25"/>
  <c r="D46" i="25"/>
  <c r="C46" i="25"/>
  <c r="B46" i="25"/>
  <c r="A46" i="25"/>
  <c r="L45" i="25"/>
  <c r="K45" i="25"/>
  <c r="H45" i="25"/>
  <c r="G45" i="25"/>
  <c r="F45" i="25"/>
  <c r="E45" i="25"/>
  <c r="D45" i="25"/>
  <c r="C45" i="25"/>
  <c r="B45" i="25"/>
  <c r="A45" i="25"/>
  <c r="L44" i="25"/>
  <c r="K44" i="25"/>
  <c r="H44" i="25"/>
  <c r="G44" i="25"/>
  <c r="F44" i="25"/>
  <c r="E44" i="25"/>
  <c r="D44" i="25"/>
  <c r="C44" i="25"/>
  <c r="B44" i="25"/>
  <c r="A44" i="25"/>
  <c r="L43" i="25"/>
  <c r="K43" i="25"/>
  <c r="H43" i="25"/>
  <c r="G43" i="25"/>
  <c r="F43" i="25"/>
  <c r="E43" i="25"/>
  <c r="D43" i="25"/>
  <c r="C43" i="25"/>
  <c r="B43" i="25"/>
  <c r="A43" i="25"/>
  <c r="L42" i="25"/>
  <c r="K42" i="25"/>
  <c r="H42" i="25"/>
  <c r="G42" i="25"/>
  <c r="F42" i="25"/>
  <c r="E42" i="25"/>
  <c r="D42" i="25"/>
  <c r="C42" i="25"/>
  <c r="B42" i="25"/>
  <c r="A42" i="25"/>
  <c r="L41" i="25"/>
  <c r="K41" i="25"/>
  <c r="H41" i="25"/>
  <c r="G41" i="25"/>
  <c r="F41" i="25"/>
  <c r="E41" i="25"/>
  <c r="D41" i="25"/>
  <c r="C41" i="25"/>
  <c r="B41" i="25"/>
  <c r="A41" i="25"/>
  <c r="L40" i="25"/>
  <c r="K40" i="25"/>
  <c r="H40" i="25"/>
  <c r="G40" i="25"/>
  <c r="F40" i="25"/>
  <c r="E40" i="25"/>
  <c r="D40" i="25"/>
  <c r="C40" i="25"/>
  <c r="B40" i="25"/>
  <c r="A40" i="25"/>
  <c r="L39" i="25"/>
  <c r="K39" i="25"/>
  <c r="H39" i="25"/>
  <c r="G39" i="25"/>
  <c r="F39" i="25"/>
  <c r="E39" i="25"/>
  <c r="D39" i="25"/>
  <c r="C39" i="25"/>
  <c r="B39" i="25"/>
  <c r="A39" i="25"/>
  <c r="L38" i="25"/>
  <c r="K38" i="25"/>
  <c r="H38" i="25"/>
  <c r="G38" i="25"/>
  <c r="F38" i="25"/>
  <c r="E38" i="25"/>
  <c r="D38" i="25"/>
  <c r="C38" i="25"/>
  <c r="B38" i="25"/>
  <c r="A38" i="25"/>
  <c r="L37" i="25"/>
  <c r="K37" i="25"/>
  <c r="H37" i="25"/>
  <c r="G37" i="25"/>
  <c r="F37" i="25"/>
  <c r="E37" i="25"/>
  <c r="D37" i="25"/>
  <c r="C37" i="25"/>
  <c r="B37" i="25"/>
  <c r="A37" i="25"/>
  <c r="L36" i="25"/>
  <c r="K36" i="25"/>
  <c r="H36" i="25"/>
  <c r="G36" i="25"/>
  <c r="F36" i="25"/>
  <c r="E36" i="25"/>
  <c r="D36" i="25"/>
  <c r="C36" i="25"/>
  <c r="B36" i="25"/>
  <c r="A36" i="25"/>
  <c r="L35" i="25"/>
  <c r="K35" i="25"/>
  <c r="H35" i="25"/>
  <c r="G35" i="25"/>
  <c r="F35" i="25"/>
  <c r="E35" i="25"/>
  <c r="D35" i="25"/>
  <c r="C35" i="25"/>
  <c r="B35" i="25"/>
  <c r="A35" i="25"/>
  <c r="L34" i="25"/>
  <c r="K34" i="25"/>
  <c r="H34" i="25"/>
  <c r="G34" i="25"/>
  <c r="F34" i="25"/>
  <c r="E34" i="25"/>
  <c r="D34" i="25"/>
  <c r="C34" i="25"/>
  <c r="B34" i="25"/>
  <c r="A34" i="25"/>
  <c r="L33" i="25"/>
  <c r="K33" i="25"/>
  <c r="H33" i="25"/>
  <c r="G33" i="25"/>
  <c r="F33" i="25"/>
  <c r="E33" i="25"/>
  <c r="D33" i="25"/>
  <c r="C33" i="25"/>
  <c r="B33" i="25"/>
  <c r="A33" i="25"/>
  <c r="L32" i="25"/>
  <c r="K32" i="25"/>
  <c r="H32" i="25"/>
  <c r="G32" i="25"/>
  <c r="F32" i="25"/>
  <c r="E32" i="25"/>
  <c r="D32" i="25"/>
  <c r="C32" i="25"/>
  <c r="B32" i="25"/>
  <c r="A32" i="25"/>
  <c r="L31" i="25"/>
  <c r="K31" i="25"/>
  <c r="H31" i="25"/>
  <c r="G31" i="25"/>
  <c r="F31" i="25"/>
  <c r="E31" i="25"/>
  <c r="D31" i="25"/>
  <c r="C31" i="25"/>
  <c r="B31" i="25"/>
  <c r="A31" i="25"/>
  <c r="L30" i="25"/>
  <c r="K30" i="25"/>
  <c r="H30" i="25"/>
  <c r="G30" i="25"/>
  <c r="F30" i="25"/>
  <c r="E30" i="25"/>
  <c r="D30" i="25"/>
  <c r="C30" i="25"/>
  <c r="B30" i="25"/>
  <c r="A30" i="25"/>
  <c r="L29" i="25"/>
  <c r="K29" i="25"/>
  <c r="H29" i="25"/>
  <c r="G29" i="25"/>
  <c r="F29" i="25"/>
  <c r="E29" i="25"/>
  <c r="D29" i="25"/>
  <c r="C29" i="25"/>
  <c r="B29" i="25"/>
  <c r="A29" i="25"/>
  <c r="L28" i="25"/>
  <c r="K28" i="25"/>
  <c r="H28" i="25"/>
  <c r="G28" i="25"/>
  <c r="F28" i="25"/>
  <c r="E28" i="25"/>
  <c r="D28" i="25"/>
  <c r="C28" i="25"/>
  <c r="B28" i="25"/>
  <c r="A28" i="25"/>
  <c r="L27" i="25"/>
  <c r="K27" i="25"/>
  <c r="H27" i="25"/>
  <c r="G27" i="25"/>
  <c r="F27" i="25"/>
  <c r="E27" i="25"/>
  <c r="D27" i="25"/>
  <c r="C27" i="25"/>
  <c r="B27" i="25"/>
  <c r="A27" i="25"/>
  <c r="L26" i="25"/>
  <c r="K26" i="25"/>
  <c r="H26" i="25"/>
  <c r="G26" i="25"/>
  <c r="F26" i="25"/>
  <c r="E26" i="25"/>
  <c r="D26" i="25"/>
  <c r="C26" i="25"/>
  <c r="B26" i="25"/>
  <c r="A26" i="25"/>
  <c r="L25" i="25"/>
  <c r="K25" i="25"/>
  <c r="H25" i="25"/>
  <c r="G25" i="25"/>
  <c r="F25" i="25"/>
  <c r="E25" i="25"/>
  <c r="D25" i="25"/>
  <c r="C25" i="25"/>
  <c r="B25" i="25"/>
  <c r="A25" i="25"/>
  <c r="L24" i="25"/>
  <c r="K24" i="25"/>
  <c r="H24" i="25"/>
  <c r="G24" i="25"/>
  <c r="F24" i="25"/>
  <c r="E24" i="25"/>
  <c r="D24" i="25"/>
  <c r="C24" i="25"/>
  <c r="B24" i="25"/>
  <c r="A24" i="25"/>
  <c r="L23" i="25"/>
  <c r="K23" i="25"/>
  <c r="H23" i="25"/>
  <c r="G23" i="25"/>
  <c r="F23" i="25"/>
  <c r="E23" i="25"/>
  <c r="D23" i="25"/>
  <c r="C23" i="25"/>
  <c r="B23" i="25"/>
  <c r="A23" i="25"/>
  <c r="L22" i="25"/>
  <c r="K22" i="25"/>
  <c r="H22" i="25"/>
  <c r="G22" i="25"/>
  <c r="F22" i="25"/>
  <c r="E22" i="25"/>
  <c r="D22" i="25"/>
  <c r="C22" i="25"/>
  <c r="B22" i="25"/>
  <c r="A22" i="25"/>
  <c r="L21" i="25"/>
  <c r="K21" i="25"/>
  <c r="H21" i="25"/>
  <c r="G21" i="25"/>
  <c r="F21" i="25"/>
  <c r="E21" i="25"/>
  <c r="D21" i="25"/>
  <c r="C21" i="25"/>
  <c r="B21" i="25"/>
  <c r="A21" i="25"/>
  <c r="L20" i="25"/>
  <c r="K20" i="25"/>
  <c r="H20" i="25"/>
  <c r="G20" i="25"/>
  <c r="F20" i="25"/>
  <c r="E20" i="25"/>
  <c r="D20" i="25"/>
  <c r="C20" i="25"/>
  <c r="B20" i="25"/>
  <c r="A20" i="25"/>
  <c r="L19" i="25"/>
  <c r="K19" i="25"/>
  <c r="H19" i="25"/>
  <c r="G19" i="25"/>
  <c r="F19" i="25"/>
  <c r="E19" i="25"/>
  <c r="D19" i="25"/>
  <c r="C19" i="25"/>
  <c r="B19" i="25"/>
  <c r="A19" i="25"/>
  <c r="L18" i="25"/>
  <c r="K18" i="25"/>
  <c r="H18" i="25"/>
  <c r="G18" i="25"/>
  <c r="F18" i="25"/>
  <c r="E18" i="25"/>
  <c r="D18" i="25"/>
  <c r="C18" i="25"/>
  <c r="B18" i="25"/>
  <c r="A18" i="25"/>
  <c r="L17" i="25"/>
  <c r="K17" i="25"/>
  <c r="H17" i="25"/>
  <c r="G17" i="25"/>
  <c r="F17" i="25"/>
  <c r="E17" i="25"/>
  <c r="D17" i="25"/>
  <c r="C17" i="25"/>
  <c r="B17" i="25"/>
  <c r="A17" i="25"/>
  <c r="L16" i="25"/>
  <c r="K16" i="25"/>
  <c r="H16" i="25"/>
  <c r="G16" i="25"/>
  <c r="F16" i="25"/>
  <c r="E16" i="25"/>
  <c r="D16" i="25"/>
  <c r="C16" i="25"/>
  <c r="B16" i="25"/>
  <c r="A16" i="25"/>
  <c r="L15" i="25"/>
  <c r="K15" i="25"/>
  <c r="H15" i="25"/>
  <c r="G15" i="25"/>
  <c r="F15" i="25"/>
  <c r="E15" i="25"/>
  <c r="D15" i="25"/>
  <c r="C15" i="25"/>
  <c r="B15" i="25"/>
  <c r="A15" i="25"/>
  <c r="L14" i="25"/>
  <c r="K14" i="25"/>
  <c r="H14" i="25"/>
  <c r="G14" i="25"/>
  <c r="F14" i="25"/>
  <c r="E14" i="25"/>
  <c r="D14" i="25"/>
  <c r="C14" i="25"/>
  <c r="B14" i="25"/>
  <c r="A14" i="25"/>
  <c r="L13" i="25"/>
  <c r="K13" i="25"/>
  <c r="H13" i="25"/>
  <c r="G13" i="25"/>
  <c r="F13" i="25"/>
  <c r="E13" i="25"/>
  <c r="D13" i="25"/>
  <c r="C13" i="25"/>
  <c r="B13" i="25"/>
  <c r="A13" i="25"/>
  <c r="L12" i="25"/>
  <c r="K12" i="25"/>
  <c r="H12" i="25"/>
  <c r="G12" i="25"/>
  <c r="F12" i="25"/>
  <c r="E12" i="25"/>
  <c r="D12" i="25"/>
  <c r="C12" i="25"/>
  <c r="B12" i="25"/>
  <c r="A12" i="25"/>
  <c r="L11" i="25"/>
  <c r="K11" i="25"/>
  <c r="H11" i="25"/>
  <c r="G11" i="25"/>
  <c r="F11" i="25"/>
  <c r="E11" i="25"/>
  <c r="D11" i="25"/>
  <c r="C11" i="25"/>
  <c r="B11" i="25"/>
  <c r="A11" i="25"/>
  <c r="L10" i="25"/>
  <c r="K10" i="25"/>
  <c r="H10" i="25"/>
  <c r="G10" i="25"/>
  <c r="F10" i="25"/>
  <c r="E10" i="25"/>
  <c r="D10" i="25"/>
  <c r="C10" i="25"/>
  <c r="B10" i="25"/>
  <c r="A10" i="25"/>
  <c r="L9" i="25"/>
  <c r="K9" i="25"/>
  <c r="H9" i="25"/>
  <c r="G9" i="25"/>
  <c r="F9" i="25"/>
  <c r="E9" i="25"/>
  <c r="D9" i="25"/>
  <c r="C9" i="25"/>
  <c r="B9" i="25"/>
  <c r="A9" i="25"/>
  <c r="L8" i="25"/>
  <c r="K8" i="25"/>
  <c r="H8" i="25"/>
  <c r="G8" i="25"/>
  <c r="F8" i="25"/>
  <c r="E8" i="25"/>
  <c r="D8" i="25"/>
  <c r="C8" i="25"/>
  <c r="B8" i="25"/>
  <c r="A8" i="25"/>
  <c r="K7" i="25"/>
  <c r="H7" i="25"/>
  <c r="G7" i="25"/>
  <c r="F7" i="25"/>
  <c r="E7" i="25"/>
  <c r="D7" i="25"/>
  <c r="C7" i="25"/>
  <c r="B7" i="25"/>
  <c r="A7" i="25"/>
  <c r="J2" i="25"/>
  <c r="D33" i="1" s="1"/>
  <c r="L110" i="24"/>
  <c r="K110" i="24"/>
  <c r="H110" i="24"/>
  <c r="G110" i="24"/>
  <c r="F110" i="24"/>
  <c r="E110" i="24"/>
  <c r="D110" i="24"/>
  <c r="C110" i="24"/>
  <c r="B110" i="24"/>
  <c r="A110" i="24"/>
  <c r="L109" i="24"/>
  <c r="K109" i="24"/>
  <c r="H109" i="24"/>
  <c r="G109" i="24"/>
  <c r="F109" i="24"/>
  <c r="E109" i="24"/>
  <c r="D109" i="24"/>
  <c r="C109" i="24"/>
  <c r="B109" i="24"/>
  <c r="A109" i="24"/>
  <c r="L108" i="24"/>
  <c r="K108" i="24"/>
  <c r="H108" i="24"/>
  <c r="G108" i="24"/>
  <c r="F108" i="24"/>
  <c r="E108" i="24"/>
  <c r="D108" i="24"/>
  <c r="C108" i="24"/>
  <c r="B108" i="24"/>
  <c r="A108" i="24"/>
  <c r="L107" i="24"/>
  <c r="K107" i="24"/>
  <c r="H107" i="24"/>
  <c r="G107" i="24"/>
  <c r="F107" i="24"/>
  <c r="E107" i="24"/>
  <c r="D107" i="24"/>
  <c r="C107" i="24"/>
  <c r="B107" i="24"/>
  <c r="A107" i="24"/>
  <c r="L106" i="24"/>
  <c r="K106" i="24"/>
  <c r="H106" i="24"/>
  <c r="G106" i="24"/>
  <c r="F106" i="24"/>
  <c r="E106" i="24"/>
  <c r="D106" i="24"/>
  <c r="C106" i="24"/>
  <c r="B106" i="24"/>
  <c r="A106" i="24"/>
  <c r="L105" i="24"/>
  <c r="K105" i="24"/>
  <c r="H105" i="24"/>
  <c r="G105" i="24"/>
  <c r="F105" i="24"/>
  <c r="E105" i="24"/>
  <c r="D105" i="24"/>
  <c r="C105" i="24"/>
  <c r="B105" i="24"/>
  <c r="A105" i="24"/>
  <c r="L104" i="24"/>
  <c r="K104" i="24"/>
  <c r="H104" i="24"/>
  <c r="G104" i="24"/>
  <c r="F104" i="24"/>
  <c r="E104" i="24"/>
  <c r="D104" i="24"/>
  <c r="C104" i="24"/>
  <c r="B104" i="24"/>
  <c r="A104" i="24"/>
  <c r="L103" i="24"/>
  <c r="K103" i="24"/>
  <c r="H103" i="24"/>
  <c r="G103" i="24"/>
  <c r="F103" i="24"/>
  <c r="E103" i="24"/>
  <c r="D103" i="24"/>
  <c r="C103" i="24"/>
  <c r="B103" i="24"/>
  <c r="A103" i="24"/>
  <c r="L102" i="24"/>
  <c r="K102" i="24"/>
  <c r="H102" i="24"/>
  <c r="G102" i="24"/>
  <c r="F102" i="24"/>
  <c r="E102" i="24"/>
  <c r="D102" i="24"/>
  <c r="C102" i="24"/>
  <c r="B102" i="24"/>
  <c r="A102" i="24"/>
  <c r="L101" i="24"/>
  <c r="K101" i="24"/>
  <c r="H101" i="24"/>
  <c r="G101" i="24"/>
  <c r="F101" i="24"/>
  <c r="E101" i="24"/>
  <c r="D101" i="24"/>
  <c r="C101" i="24"/>
  <c r="B101" i="24"/>
  <c r="A101" i="24"/>
  <c r="L100" i="24"/>
  <c r="K100" i="24"/>
  <c r="H100" i="24"/>
  <c r="G100" i="24"/>
  <c r="F100" i="24"/>
  <c r="E100" i="24"/>
  <c r="D100" i="24"/>
  <c r="C100" i="24"/>
  <c r="B100" i="24"/>
  <c r="A100" i="24"/>
  <c r="L99" i="24"/>
  <c r="K99" i="24"/>
  <c r="H99" i="24"/>
  <c r="G99" i="24"/>
  <c r="F99" i="24"/>
  <c r="E99" i="24"/>
  <c r="D99" i="24"/>
  <c r="C99" i="24"/>
  <c r="B99" i="24"/>
  <c r="A99" i="24"/>
  <c r="L98" i="24"/>
  <c r="K98" i="24"/>
  <c r="H98" i="24"/>
  <c r="G98" i="24"/>
  <c r="F98" i="24"/>
  <c r="E98" i="24"/>
  <c r="D98" i="24"/>
  <c r="C98" i="24"/>
  <c r="B98" i="24"/>
  <c r="A98" i="24"/>
  <c r="L97" i="24"/>
  <c r="K97" i="24"/>
  <c r="H97" i="24"/>
  <c r="G97" i="24"/>
  <c r="F97" i="24"/>
  <c r="E97" i="24"/>
  <c r="D97" i="24"/>
  <c r="C97" i="24"/>
  <c r="B97" i="24"/>
  <c r="A97" i="24"/>
  <c r="L96" i="24"/>
  <c r="K96" i="24"/>
  <c r="H96" i="24"/>
  <c r="G96" i="24"/>
  <c r="F96" i="24"/>
  <c r="E96" i="24"/>
  <c r="D96" i="24"/>
  <c r="C96" i="24"/>
  <c r="B96" i="24"/>
  <c r="A96" i="24"/>
  <c r="L95" i="24"/>
  <c r="K95" i="24"/>
  <c r="H95" i="24"/>
  <c r="G95" i="24"/>
  <c r="F95" i="24"/>
  <c r="E95" i="24"/>
  <c r="D95" i="24"/>
  <c r="C95" i="24"/>
  <c r="B95" i="24"/>
  <c r="A95" i="24"/>
  <c r="L94" i="24"/>
  <c r="K94" i="24"/>
  <c r="H94" i="24"/>
  <c r="G94" i="24"/>
  <c r="F94" i="24"/>
  <c r="E94" i="24"/>
  <c r="D94" i="24"/>
  <c r="C94" i="24"/>
  <c r="B94" i="24"/>
  <c r="A94" i="24"/>
  <c r="L93" i="24"/>
  <c r="K93" i="24"/>
  <c r="H93" i="24"/>
  <c r="G93" i="24"/>
  <c r="F93" i="24"/>
  <c r="E93" i="24"/>
  <c r="D93" i="24"/>
  <c r="C93" i="24"/>
  <c r="B93" i="24"/>
  <c r="A93" i="24"/>
  <c r="L92" i="24"/>
  <c r="K92" i="24"/>
  <c r="H92" i="24"/>
  <c r="G92" i="24"/>
  <c r="F92" i="24"/>
  <c r="E92" i="24"/>
  <c r="D92" i="24"/>
  <c r="C92" i="24"/>
  <c r="B92" i="24"/>
  <c r="A92" i="24"/>
  <c r="L91" i="24"/>
  <c r="K91" i="24"/>
  <c r="H91" i="24"/>
  <c r="G91" i="24"/>
  <c r="F91" i="24"/>
  <c r="E91" i="24"/>
  <c r="D91" i="24"/>
  <c r="C91" i="24"/>
  <c r="B91" i="24"/>
  <c r="A91" i="24"/>
  <c r="L90" i="24"/>
  <c r="K90" i="24"/>
  <c r="H90" i="24"/>
  <c r="G90" i="24"/>
  <c r="F90" i="24"/>
  <c r="E90" i="24"/>
  <c r="D90" i="24"/>
  <c r="C90" i="24"/>
  <c r="B90" i="24"/>
  <c r="A90" i="24"/>
  <c r="L89" i="24"/>
  <c r="K89" i="24"/>
  <c r="H89" i="24"/>
  <c r="G89" i="24"/>
  <c r="F89" i="24"/>
  <c r="E89" i="24"/>
  <c r="D89" i="24"/>
  <c r="C89" i="24"/>
  <c r="B89" i="24"/>
  <c r="A89" i="24"/>
  <c r="L88" i="24"/>
  <c r="K88" i="24"/>
  <c r="H88" i="24"/>
  <c r="G88" i="24"/>
  <c r="F88" i="24"/>
  <c r="E88" i="24"/>
  <c r="D88" i="24"/>
  <c r="C88" i="24"/>
  <c r="B88" i="24"/>
  <c r="A88" i="24"/>
  <c r="L87" i="24"/>
  <c r="K87" i="24"/>
  <c r="H87" i="24"/>
  <c r="G87" i="24"/>
  <c r="F87" i="24"/>
  <c r="E87" i="24"/>
  <c r="D87" i="24"/>
  <c r="C87" i="24"/>
  <c r="B87" i="24"/>
  <c r="A87" i="24"/>
  <c r="L86" i="24"/>
  <c r="K86" i="24"/>
  <c r="H86" i="24"/>
  <c r="G86" i="24"/>
  <c r="F86" i="24"/>
  <c r="E86" i="24"/>
  <c r="D86" i="24"/>
  <c r="C86" i="24"/>
  <c r="B86" i="24"/>
  <c r="A86" i="24"/>
  <c r="L85" i="24"/>
  <c r="K85" i="24"/>
  <c r="H85" i="24"/>
  <c r="G85" i="24"/>
  <c r="F85" i="24"/>
  <c r="E85" i="24"/>
  <c r="D85" i="24"/>
  <c r="C85" i="24"/>
  <c r="B85" i="24"/>
  <c r="A85" i="24"/>
  <c r="L84" i="24"/>
  <c r="K84" i="24"/>
  <c r="H84" i="24"/>
  <c r="G84" i="24"/>
  <c r="F84" i="24"/>
  <c r="E84" i="24"/>
  <c r="D84" i="24"/>
  <c r="C84" i="24"/>
  <c r="B84" i="24"/>
  <c r="A84" i="24"/>
  <c r="L83" i="24"/>
  <c r="K83" i="24"/>
  <c r="H83" i="24"/>
  <c r="G83" i="24"/>
  <c r="F83" i="24"/>
  <c r="E83" i="24"/>
  <c r="D83" i="24"/>
  <c r="C83" i="24"/>
  <c r="B83" i="24"/>
  <c r="A83" i="24"/>
  <c r="L82" i="24"/>
  <c r="K82" i="24"/>
  <c r="H82" i="24"/>
  <c r="G82" i="24"/>
  <c r="F82" i="24"/>
  <c r="E82" i="24"/>
  <c r="D82" i="24"/>
  <c r="C82" i="24"/>
  <c r="B82" i="24"/>
  <c r="A82" i="24"/>
  <c r="L81" i="24"/>
  <c r="K81" i="24"/>
  <c r="H81" i="24"/>
  <c r="G81" i="24"/>
  <c r="F81" i="24"/>
  <c r="E81" i="24"/>
  <c r="D81" i="24"/>
  <c r="C81" i="24"/>
  <c r="B81" i="24"/>
  <c r="A81" i="24"/>
  <c r="L80" i="24"/>
  <c r="K80" i="24"/>
  <c r="H80" i="24"/>
  <c r="G80" i="24"/>
  <c r="F80" i="24"/>
  <c r="E80" i="24"/>
  <c r="D80" i="24"/>
  <c r="C80" i="24"/>
  <c r="B80" i="24"/>
  <c r="A80" i="24"/>
  <c r="L79" i="24"/>
  <c r="K79" i="24"/>
  <c r="H79" i="24"/>
  <c r="G79" i="24"/>
  <c r="F79" i="24"/>
  <c r="E79" i="24"/>
  <c r="D79" i="24"/>
  <c r="C79" i="24"/>
  <c r="B79" i="24"/>
  <c r="A79" i="24"/>
  <c r="L78" i="24"/>
  <c r="K78" i="24"/>
  <c r="H78" i="24"/>
  <c r="G78" i="24"/>
  <c r="F78" i="24"/>
  <c r="E78" i="24"/>
  <c r="D78" i="24"/>
  <c r="C78" i="24"/>
  <c r="B78" i="24"/>
  <c r="A78" i="24"/>
  <c r="L77" i="24"/>
  <c r="K77" i="24"/>
  <c r="H77" i="24"/>
  <c r="G77" i="24"/>
  <c r="F77" i="24"/>
  <c r="E77" i="24"/>
  <c r="D77" i="24"/>
  <c r="C77" i="24"/>
  <c r="B77" i="24"/>
  <c r="A77" i="24"/>
  <c r="L76" i="24"/>
  <c r="K76" i="24"/>
  <c r="H76" i="24"/>
  <c r="G76" i="24"/>
  <c r="F76" i="24"/>
  <c r="E76" i="24"/>
  <c r="D76" i="24"/>
  <c r="C76" i="24"/>
  <c r="B76" i="24"/>
  <c r="A76" i="24"/>
  <c r="L75" i="24"/>
  <c r="K75" i="24"/>
  <c r="H75" i="24"/>
  <c r="G75" i="24"/>
  <c r="F75" i="24"/>
  <c r="E75" i="24"/>
  <c r="D75" i="24"/>
  <c r="C75" i="24"/>
  <c r="B75" i="24"/>
  <c r="A75" i="24"/>
  <c r="L74" i="24"/>
  <c r="K74" i="24"/>
  <c r="H74" i="24"/>
  <c r="G74" i="24"/>
  <c r="F74" i="24"/>
  <c r="E74" i="24"/>
  <c r="D74" i="24"/>
  <c r="C74" i="24"/>
  <c r="B74" i="24"/>
  <c r="A74" i="24"/>
  <c r="L73" i="24"/>
  <c r="K73" i="24"/>
  <c r="H73" i="24"/>
  <c r="G73" i="24"/>
  <c r="F73" i="24"/>
  <c r="E73" i="24"/>
  <c r="D73" i="24"/>
  <c r="C73" i="24"/>
  <c r="B73" i="24"/>
  <c r="A73" i="24"/>
  <c r="L72" i="24"/>
  <c r="K72" i="24"/>
  <c r="H72" i="24"/>
  <c r="G72" i="24"/>
  <c r="F72" i="24"/>
  <c r="E72" i="24"/>
  <c r="D72" i="24"/>
  <c r="C72" i="24"/>
  <c r="B72" i="24"/>
  <c r="A72" i="24"/>
  <c r="L71" i="24"/>
  <c r="K71" i="24"/>
  <c r="H71" i="24"/>
  <c r="G71" i="24"/>
  <c r="F71" i="24"/>
  <c r="E71" i="24"/>
  <c r="D71" i="24"/>
  <c r="C71" i="24"/>
  <c r="B71" i="24"/>
  <c r="A71" i="24"/>
  <c r="L70" i="24"/>
  <c r="K70" i="24"/>
  <c r="H70" i="24"/>
  <c r="G70" i="24"/>
  <c r="F70" i="24"/>
  <c r="E70" i="24"/>
  <c r="D70" i="24"/>
  <c r="C70" i="24"/>
  <c r="B70" i="24"/>
  <c r="A70" i="24"/>
  <c r="L69" i="24"/>
  <c r="K69" i="24"/>
  <c r="H69" i="24"/>
  <c r="G69" i="24"/>
  <c r="F69" i="24"/>
  <c r="E69" i="24"/>
  <c r="D69" i="24"/>
  <c r="C69" i="24"/>
  <c r="B69" i="24"/>
  <c r="A69" i="24"/>
  <c r="L68" i="24"/>
  <c r="K68" i="24"/>
  <c r="H68" i="24"/>
  <c r="G68" i="24"/>
  <c r="F68" i="24"/>
  <c r="E68" i="24"/>
  <c r="D68" i="24"/>
  <c r="C68" i="24"/>
  <c r="B68" i="24"/>
  <c r="A68" i="24"/>
  <c r="L67" i="24"/>
  <c r="K67" i="24"/>
  <c r="H67" i="24"/>
  <c r="G67" i="24"/>
  <c r="F67" i="24"/>
  <c r="E67" i="24"/>
  <c r="D67" i="24"/>
  <c r="C67" i="24"/>
  <c r="B67" i="24"/>
  <c r="A67" i="24"/>
  <c r="L66" i="24"/>
  <c r="K66" i="24"/>
  <c r="H66" i="24"/>
  <c r="G66" i="24"/>
  <c r="F66" i="24"/>
  <c r="E66" i="24"/>
  <c r="D66" i="24"/>
  <c r="C66" i="24"/>
  <c r="B66" i="24"/>
  <c r="A66" i="24"/>
  <c r="L65" i="24"/>
  <c r="K65" i="24"/>
  <c r="H65" i="24"/>
  <c r="G65" i="24"/>
  <c r="F65" i="24"/>
  <c r="E65" i="24"/>
  <c r="D65" i="24"/>
  <c r="C65" i="24"/>
  <c r="B65" i="24"/>
  <c r="A65" i="24"/>
  <c r="L64" i="24"/>
  <c r="K64" i="24"/>
  <c r="H64" i="24"/>
  <c r="G64" i="24"/>
  <c r="F64" i="24"/>
  <c r="E64" i="24"/>
  <c r="D64" i="24"/>
  <c r="C64" i="24"/>
  <c r="B64" i="24"/>
  <c r="A64" i="24"/>
  <c r="L63" i="24"/>
  <c r="K63" i="24"/>
  <c r="H63" i="24"/>
  <c r="G63" i="24"/>
  <c r="F63" i="24"/>
  <c r="E63" i="24"/>
  <c r="D63" i="24"/>
  <c r="C63" i="24"/>
  <c r="B63" i="24"/>
  <c r="A63" i="24"/>
  <c r="L62" i="24"/>
  <c r="K62" i="24"/>
  <c r="H62" i="24"/>
  <c r="G62" i="24"/>
  <c r="F62" i="24"/>
  <c r="E62" i="24"/>
  <c r="D62" i="24"/>
  <c r="C62" i="24"/>
  <c r="B62" i="24"/>
  <c r="A62" i="24"/>
  <c r="L61" i="24"/>
  <c r="K61" i="24"/>
  <c r="H61" i="24"/>
  <c r="G61" i="24"/>
  <c r="F61" i="24"/>
  <c r="E61" i="24"/>
  <c r="D61" i="24"/>
  <c r="C61" i="24"/>
  <c r="B61" i="24"/>
  <c r="A61" i="24"/>
  <c r="L60" i="24"/>
  <c r="K60" i="24"/>
  <c r="H60" i="24"/>
  <c r="G60" i="24"/>
  <c r="F60" i="24"/>
  <c r="E60" i="24"/>
  <c r="D60" i="24"/>
  <c r="C60" i="24"/>
  <c r="B60" i="24"/>
  <c r="A60" i="24"/>
  <c r="L59" i="24"/>
  <c r="K59" i="24"/>
  <c r="H59" i="24"/>
  <c r="G59" i="24"/>
  <c r="F59" i="24"/>
  <c r="E59" i="24"/>
  <c r="D59" i="24"/>
  <c r="C59" i="24"/>
  <c r="B59" i="24"/>
  <c r="A59" i="24"/>
  <c r="L58" i="24"/>
  <c r="K58" i="24"/>
  <c r="H58" i="24"/>
  <c r="G58" i="24"/>
  <c r="F58" i="24"/>
  <c r="E58" i="24"/>
  <c r="D58" i="24"/>
  <c r="C58" i="24"/>
  <c r="B58" i="24"/>
  <c r="A58" i="24"/>
  <c r="L57" i="24"/>
  <c r="K57" i="24"/>
  <c r="H57" i="24"/>
  <c r="G57" i="24"/>
  <c r="F57" i="24"/>
  <c r="E57" i="24"/>
  <c r="D57" i="24"/>
  <c r="C57" i="24"/>
  <c r="B57" i="24"/>
  <c r="A57" i="24"/>
  <c r="L56" i="24"/>
  <c r="K56" i="24"/>
  <c r="H56" i="24"/>
  <c r="G56" i="24"/>
  <c r="F56" i="24"/>
  <c r="E56" i="24"/>
  <c r="D56" i="24"/>
  <c r="C56" i="24"/>
  <c r="B56" i="24"/>
  <c r="A56" i="24"/>
  <c r="L55" i="24"/>
  <c r="K55" i="24"/>
  <c r="H55" i="24"/>
  <c r="G55" i="24"/>
  <c r="F55" i="24"/>
  <c r="E55" i="24"/>
  <c r="D55" i="24"/>
  <c r="C55" i="24"/>
  <c r="B55" i="24"/>
  <c r="A55" i="24"/>
  <c r="L54" i="24"/>
  <c r="K54" i="24"/>
  <c r="H54" i="24"/>
  <c r="G54" i="24"/>
  <c r="F54" i="24"/>
  <c r="E54" i="24"/>
  <c r="D54" i="24"/>
  <c r="C54" i="24"/>
  <c r="B54" i="24"/>
  <c r="A54" i="24"/>
  <c r="L53" i="24"/>
  <c r="K53" i="24"/>
  <c r="H53" i="24"/>
  <c r="G53" i="24"/>
  <c r="F53" i="24"/>
  <c r="E53" i="24"/>
  <c r="D53" i="24"/>
  <c r="C53" i="24"/>
  <c r="B53" i="24"/>
  <c r="A53" i="24"/>
  <c r="L52" i="24"/>
  <c r="K52" i="24"/>
  <c r="H52" i="24"/>
  <c r="G52" i="24"/>
  <c r="F52" i="24"/>
  <c r="E52" i="24"/>
  <c r="D52" i="24"/>
  <c r="C52" i="24"/>
  <c r="B52" i="24"/>
  <c r="A52" i="24"/>
  <c r="L51" i="24"/>
  <c r="K51" i="24"/>
  <c r="H51" i="24"/>
  <c r="G51" i="24"/>
  <c r="F51" i="24"/>
  <c r="E51" i="24"/>
  <c r="D51" i="24"/>
  <c r="C51" i="24"/>
  <c r="B51" i="24"/>
  <c r="A51" i="24"/>
  <c r="L50" i="24"/>
  <c r="K50" i="24"/>
  <c r="H50" i="24"/>
  <c r="G50" i="24"/>
  <c r="F50" i="24"/>
  <c r="E50" i="24"/>
  <c r="D50" i="24"/>
  <c r="C50" i="24"/>
  <c r="B50" i="24"/>
  <c r="A50" i="24"/>
  <c r="L49" i="24"/>
  <c r="K49" i="24"/>
  <c r="H49" i="24"/>
  <c r="G49" i="24"/>
  <c r="F49" i="24"/>
  <c r="E49" i="24"/>
  <c r="D49" i="24"/>
  <c r="C49" i="24"/>
  <c r="B49" i="24"/>
  <c r="A49" i="24"/>
  <c r="L48" i="24"/>
  <c r="K48" i="24"/>
  <c r="H48" i="24"/>
  <c r="G48" i="24"/>
  <c r="F48" i="24"/>
  <c r="E48" i="24"/>
  <c r="D48" i="24"/>
  <c r="C48" i="24"/>
  <c r="B48" i="24"/>
  <c r="A48" i="24"/>
  <c r="L47" i="24"/>
  <c r="K47" i="24"/>
  <c r="H47" i="24"/>
  <c r="G47" i="24"/>
  <c r="F47" i="24"/>
  <c r="E47" i="24"/>
  <c r="D47" i="24"/>
  <c r="C47" i="24"/>
  <c r="B47" i="24"/>
  <c r="A47" i="24"/>
  <c r="L46" i="24"/>
  <c r="K46" i="24"/>
  <c r="H46" i="24"/>
  <c r="G46" i="24"/>
  <c r="F46" i="24"/>
  <c r="E46" i="24"/>
  <c r="D46" i="24"/>
  <c r="C46" i="24"/>
  <c r="B46" i="24"/>
  <c r="A46" i="24"/>
  <c r="L45" i="24"/>
  <c r="K45" i="24"/>
  <c r="H45" i="24"/>
  <c r="G45" i="24"/>
  <c r="F45" i="24"/>
  <c r="E45" i="24"/>
  <c r="D45" i="24"/>
  <c r="C45" i="24"/>
  <c r="B45" i="24"/>
  <c r="A45" i="24"/>
  <c r="L44" i="24"/>
  <c r="K44" i="24"/>
  <c r="H44" i="24"/>
  <c r="G44" i="24"/>
  <c r="F44" i="24"/>
  <c r="E44" i="24"/>
  <c r="D44" i="24"/>
  <c r="C44" i="24"/>
  <c r="B44" i="24"/>
  <c r="A44" i="24"/>
  <c r="L43" i="24"/>
  <c r="K43" i="24"/>
  <c r="H43" i="24"/>
  <c r="G43" i="24"/>
  <c r="F43" i="24"/>
  <c r="E43" i="24"/>
  <c r="D43" i="24"/>
  <c r="C43" i="24"/>
  <c r="B43" i="24"/>
  <c r="A43" i="24"/>
  <c r="L42" i="24"/>
  <c r="K42" i="24"/>
  <c r="H42" i="24"/>
  <c r="G42" i="24"/>
  <c r="F42" i="24"/>
  <c r="E42" i="24"/>
  <c r="D42" i="24"/>
  <c r="C42" i="24"/>
  <c r="B42" i="24"/>
  <c r="A42" i="24"/>
  <c r="L41" i="24"/>
  <c r="K41" i="24"/>
  <c r="H41" i="24"/>
  <c r="G41" i="24"/>
  <c r="F41" i="24"/>
  <c r="E41" i="24"/>
  <c r="D41" i="24"/>
  <c r="C41" i="24"/>
  <c r="B41" i="24"/>
  <c r="A41" i="24"/>
  <c r="L40" i="24"/>
  <c r="K40" i="24"/>
  <c r="H40" i="24"/>
  <c r="G40" i="24"/>
  <c r="F40" i="24"/>
  <c r="E40" i="24"/>
  <c r="D40" i="24"/>
  <c r="C40" i="24"/>
  <c r="B40" i="24"/>
  <c r="A40" i="24"/>
  <c r="L39" i="24"/>
  <c r="K39" i="24"/>
  <c r="H39" i="24"/>
  <c r="G39" i="24"/>
  <c r="F39" i="24"/>
  <c r="E39" i="24"/>
  <c r="D39" i="24"/>
  <c r="C39" i="24"/>
  <c r="B39" i="24"/>
  <c r="A39" i="24"/>
  <c r="L38" i="24"/>
  <c r="K38" i="24"/>
  <c r="H38" i="24"/>
  <c r="G38" i="24"/>
  <c r="F38" i="24"/>
  <c r="E38" i="24"/>
  <c r="D38" i="24"/>
  <c r="C38" i="24"/>
  <c r="B38" i="24"/>
  <c r="A38" i="24"/>
  <c r="L37" i="24"/>
  <c r="K37" i="24"/>
  <c r="H37" i="24"/>
  <c r="G37" i="24"/>
  <c r="F37" i="24"/>
  <c r="E37" i="24"/>
  <c r="D37" i="24"/>
  <c r="C37" i="24"/>
  <c r="B37" i="24"/>
  <c r="A37" i="24"/>
  <c r="L36" i="24"/>
  <c r="K36" i="24"/>
  <c r="H36" i="24"/>
  <c r="G36" i="24"/>
  <c r="F36" i="24"/>
  <c r="E36" i="24"/>
  <c r="D36" i="24"/>
  <c r="C36" i="24"/>
  <c r="B36" i="24"/>
  <c r="A36" i="24"/>
  <c r="L35" i="24"/>
  <c r="K35" i="24"/>
  <c r="H35" i="24"/>
  <c r="G35" i="24"/>
  <c r="F35" i="24"/>
  <c r="E35" i="24"/>
  <c r="D35" i="24"/>
  <c r="C35" i="24"/>
  <c r="B35" i="24"/>
  <c r="A35" i="24"/>
  <c r="L34" i="24"/>
  <c r="K34" i="24"/>
  <c r="H34" i="24"/>
  <c r="G34" i="24"/>
  <c r="F34" i="24"/>
  <c r="E34" i="24"/>
  <c r="D34" i="24"/>
  <c r="C34" i="24"/>
  <c r="B34" i="24"/>
  <c r="A34" i="24"/>
  <c r="L33" i="24"/>
  <c r="K33" i="24"/>
  <c r="H33" i="24"/>
  <c r="G33" i="24"/>
  <c r="F33" i="24"/>
  <c r="E33" i="24"/>
  <c r="D33" i="24"/>
  <c r="C33" i="24"/>
  <c r="B33" i="24"/>
  <c r="A33" i="24"/>
  <c r="L32" i="24"/>
  <c r="K32" i="24"/>
  <c r="H32" i="24"/>
  <c r="G32" i="24"/>
  <c r="F32" i="24"/>
  <c r="E32" i="24"/>
  <c r="D32" i="24"/>
  <c r="C32" i="24"/>
  <c r="B32" i="24"/>
  <c r="A32" i="24"/>
  <c r="L31" i="24"/>
  <c r="K31" i="24"/>
  <c r="H31" i="24"/>
  <c r="G31" i="24"/>
  <c r="F31" i="24"/>
  <c r="E31" i="24"/>
  <c r="D31" i="24"/>
  <c r="C31" i="24"/>
  <c r="B31" i="24"/>
  <c r="A31" i="24"/>
  <c r="L30" i="24"/>
  <c r="K30" i="24"/>
  <c r="H30" i="24"/>
  <c r="G30" i="24"/>
  <c r="F30" i="24"/>
  <c r="E30" i="24"/>
  <c r="D30" i="24"/>
  <c r="C30" i="24"/>
  <c r="B30" i="24"/>
  <c r="A30" i="24"/>
  <c r="L29" i="24"/>
  <c r="K29" i="24"/>
  <c r="H29" i="24"/>
  <c r="G29" i="24"/>
  <c r="F29" i="24"/>
  <c r="E29" i="24"/>
  <c r="D29" i="24"/>
  <c r="C29" i="24"/>
  <c r="B29" i="24"/>
  <c r="A29" i="24"/>
  <c r="L28" i="24"/>
  <c r="K28" i="24"/>
  <c r="H28" i="24"/>
  <c r="G28" i="24"/>
  <c r="F28" i="24"/>
  <c r="E28" i="24"/>
  <c r="D28" i="24"/>
  <c r="C28" i="24"/>
  <c r="B28" i="24"/>
  <c r="A28" i="24"/>
  <c r="L27" i="24"/>
  <c r="K27" i="24"/>
  <c r="H27" i="24"/>
  <c r="G27" i="24"/>
  <c r="F27" i="24"/>
  <c r="E27" i="24"/>
  <c r="D27" i="24"/>
  <c r="C27" i="24"/>
  <c r="B27" i="24"/>
  <c r="A27" i="24"/>
  <c r="L26" i="24"/>
  <c r="K26" i="24"/>
  <c r="H26" i="24"/>
  <c r="G26" i="24"/>
  <c r="F26" i="24"/>
  <c r="E26" i="24"/>
  <c r="D26" i="24"/>
  <c r="C26" i="24"/>
  <c r="B26" i="24"/>
  <c r="A26" i="24"/>
  <c r="L25" i="24"/>
  <c r="K25" i="24"/>
  <c r="H25" i="24"/>
  <c r="G25" i="24"/>
  <c r="F25" i="24"/>
  <c r="E25" i="24"/>
  <c r="D25" i="24"/>
  <c r="C25" i="24"/>
  <c r="B25" i="24"/>
  <c r="A25" i="24"/>
  <c r="L24" i="24"/>
  <c r="K24" i="24"/>
  <c r="H24" i="24"/>
  <c r="G24" i="24"/>
  <c r="F24" i="24"/>
  <c r="E24" i="24"/>
  <c r="D24" i="24"/>
  <c r="C24" i="24"/>
  <c r="B24" i="24"/>
  <c r="A24" i="24"/>
  <c r="L23" i="24"/>
  <c r="K23" i="24"/>
  <c r="H23" i="24"/>
  <c r="G23" i="24"/>
  <c r="F23" i="24"/>
  <c r="E23" i="24"/>
  <c r="D23" i="24"/>
  <c r="C23" i="24"/>
  <c r="B23" i="24"/>
  <c r="A23" i="24"/>
  <c r="L22" i="24"/>
  <c r="K22" i="24"/>
  <c r="H22" i="24"/>
  <c r="G22" i="24"/>
  <c r="F22" i="24"/>
  <c r="E22" i="24"/>
  <c r="D22" i="24"/>
  <c r="C22" i="24"/>
  <c r="B22" i="24"/>
  <c r="A22" i="24"/>
  <c r="L21" i="24"/>
  <c r="K21" i="24"/>
  <c r="H21" i="24"/>
  <c r="G21" i="24"/>
  <c r="F21" i="24"/>
  <c r="E21" i="24"/>
  <c r="D21" i="24"/>
  <c r="C21" i="24"/>
  <c r="B21" i="24"/>
  <c r="A21" i="24"/>
  <c r="L20" i="24"/>
  <c r="K20" i="24"/>
  <c r="H20" i="24"/>
  <c r="G20" i="24"/>
  <c r="F20" i="24"/>
  <c r="E20" i="24"/>
  <c r="D20" i="24"/>
  <c r="C20" i="24"/>
  <c r="B20" i="24"/>
  <c r="A20" i="24"/>
  <c r="L19" i="24"/>
  <c r="K19" i="24"/>
  <c r="H19" i="24"/>
  <c r="G19" i="24"/>
  <c r="F19" i="24"/>
  <c r="E19" i="24"/>
  <c r="D19" i="24"/>
  <c r="C19" i="24"/>
  <c r="B19" i="24"/>
  <c r="A19" i="24"/>
  <c r="L18" i="24"/>
  <c r="K18" i="24"/>
  <c r="H18" i="24"/>
  <c r="G18" i="24"/>
  <c r="F18" i="24"/>
  <c r="E18" i="24"/>
  <c r="D18" i="24"/>
  <c r="C18" i="24"/>
  <c r="B18" i="24"/>
  <c r="A18" i="24"/>
  <c r="L17" i="24"/>
  <c r="K17" i="24"/>
  <c r="H17" i="24"/>
  <c r="G17" i="24"/>
  <c r="F17" i="24"/>
  <c r="E17" i="24"/>
  <c r="D17" i="24"/>
  <c r="C17" i="24"/>
  <c r="B17" i="24"/>
  <c r="A17" i="24"/>
  <c r="L16" i="24"/>
  <c r="K16" i="24"/>
  <c r="H16" i="24"/>
  <c r="G16" i="24"/>
  <c r="F16" i="24"/>
  <c r="E16" i="24"/>
  <c r="D16" i="24"/>
  <c r="C16" i="24"/>
  <c r="B16" i="24"/>
  <c r="A16" i="24"/>
  <c r="L15" i="24"/>
  <c r="K15" i="24"/>
  <c r="H15" i="24"/>
  <c r="G15" i="24"/>
  <c r="F15" i="24"/>
  <c r="E15" i="24"/>
  <c r="D15" i="24"/>
  <c r="C15" i="24"/>
  <c r="B15" i="24"/>
  <c r="A15" i="24"/>
  <c r="L14" i="24"/>
  <c r="K14" i="24"/>
  <c r="H14" i="24"/>
  <c r="G14" i="24"/>
  <c r="F14" i="24"/>
  <c r="E14" i="24"/>
  <c r="D14" i="24"/>
  <c r="C14" i="24"/>
  <c r="B14" i="24"/>
  <c r="A14" i="24"/>
  <c r="L13" i="24"/>
  <c r="K13" i="24"/>
  <c r="H13" i="24"/>
  <c r="G13" i="24"/>
  <c r="F13" i="24"/>
  <c r="E13" i="24"/>
  <c r="D13" i="24"/>
  <c r="C13" i="24"/>
  <c r="B13" i="24"/>
  <c r="A13" i="24"/>
  <c r="L12" i="24"/>
  <c r="K12" i="24"/>
  <c r="H12" i="24"/>
  <c r="G12" i="24"/>
  <c r="F12" i="24"/>
  <c r="E12" i="24"/>
  <c r="D12" i="24"/>
  <c r="C12" i="24"/>
  <c r="B12" i="24"/>
  <c r="A12" i="24"/>
  <c r="L11" i="24"/>
  <c r="K11" i="24"/>
  <c r="H11" i="24"/>
  <c r="G11" i="24"/>
  <c r="F11" i="24"/>
  <c r="E11" i="24"/>
  <c r="D11" i="24"/>
  <c r="C11" i="24"/>
  <c r="B11" i="24"/>
  <c r="A11" i="24"/>
  <c r="L10" i="24"/>
  <c r="K10" i="24"/>
  <c r="H10" i="24"/>
  <c r="G10" i="24"/>
  <c r="F10" i="24"/>
  <c r="E10" i="24"/>
  <c r="D10" i="24"/>
  <c r="C10" i="24"/>
  <c r="B10" i="24"/>
  <c r="A10" i="24"/>
  <c r="L9" i="24"/>
  <c r="K9" i="24"/>
  <c r="H9" i="24"/>
  <c r="G9" i="24"/>
  <c r="F9" i="24"/>
  <c r="E9" i="24"/>
  <c r="D9" i="24"/>
  <c r="C9" i="24"/>
  <c r="B9" i="24"/>
  <c r="A9" i="24"/>
  <c r="L8" i="24"/>
  <c r="K8" i="24"/>
  <c r="H8" i="24"/>
  <c r="G8" i="24"/>
  <c r="F8" i="24"/>
  <c r="E8" i="24"/>
  <c r="D8" i="24"/>
  <c r="C8" i="24"/>
  <c r="B8" i="24"/>
  <c r="A8" i="24"/>
  <c r="K7" i="24"/>
  <c r="H7" i="24"/>
  <c r="G7" i="24"/>
  <c r="F7" i="24"/>
  <c r="E7" i="24"/>
  <c r="D7" i="24"/>
  <c r="C7" i="24"/>
  <c r="B7" i="24"/>
  <c r="A7" i="24"/>
  <c r="J2" i="24"/>
  <c r="D32" i="1" s="1"/>
  <c r="L110" i="23"/>
  <c r="K110" i="23"/>
  <c r="H110" i="23"/>
  <c r="G110" i="23"/>
  <c r="F110" i="23"/>
  <c r="E110" i="23"/>
  <c r="D110" i="23"/>
  <c r="C110" i="23"/>
  <c r="B110" i="23"/>
  <c r="A110" i="23"/>
  <c r="L109" i="23"/>
  <c r="K109" i="23"/>
  <c r="H109" i="23"/>
  <c r="G109" i="23"/>
  <c r="F109" i="23"/>
  <c r="E109" i="23"/>
  <c r="D109" i="23"/>
  <c r="C109" i="23"/>
  <c r="B109" i="23"/>
  <c r="A109" i="23"/>
  <c r="L108" i="23"/>
  <c r="K108" i="23"/>
  <c r="H108" i="23"/>
  <c r="G108" i="23"/>
  <c r="F108" i="23"/>
  <c r="E108" i="23"/>
  <c r="D108" i="23"/>
  <c r="C108" i="23"/>
  <c r="B108" i="23"/>
  <c r="A108" i="23"/>
  <c r="L107" i="23"/>
  <c r="K107" i="23"/>
  <c r="H107" i="23"/>
  <c r="G107" i="23"/>
  <c r="F107" i="23"/>
  <c r="E107" i="23"/>
  <c r="D107" i="23"/>
  <c r="C107" i="23"/>
  <c r="B107" i="23"/>
  <c r="A107" i="23"/>
  <c r="L106" i="23"/>
  <c r="K106" i="23"/>
  <c r="H106" i="23"/>
  <c r="G106" i="23"/>
  <c r="F106" i="23"/>
  <c r="E106" i="23"/>
  <c r="D106" i="23"/>
  <c r="C106" i="23"/>
  <c r="B106" i="23"/>
  <c r="A106" i="23"/>
  <c r="L105" i="23"/>
  <c r="K105" i="23"/>
  <c r="H105" i="23"/>
  <c r="G105" i="23"/>
  <c r="F105" i="23"/>
  <c r="E105" i="23"/>
  <c r="D105" i="23"/>
  <c r="C105" i="23"/>
  <c r="B105" i="23"/>
  <c r="A105" i="23"/>
  <c r="L104" i="23"/>
  <c r="K104" i="23"/>
  <c r="H104" i="23"/>
  <c r="G104" i="23"/>
  <c r="F104" i="23"/>
  <c r="E104" i="23"/>
  <c r="D104" i="23"/>
  <c r="C104" i="23"/>
  <c r="B104" i="23"/>
  <c r="A104" i="23"/>
  <c r="L103" i="23"/>
  <c r="K103" i="23"/>
  <c r="H103" i="23"/>
  <c r="G103" i="23"/>
  <c r="F103" i="23"/>
  <c r="E103" i="23"/>
  <c r="D103" i="23"/>
  <c r="C103" i="23"/>
  <c r="B103" i="23"/>
  <c r="A103" i="23"/>
  <c r="L102" i="23"/>
  <c r="K102" i="23"/>
  <c r="H102" i="23"/>
  <c r="G102" i="23"/>
  <c r="F102" i="23"/>
  <c r="E102" i="23"/>
  <c r="D102" i="23"/>
  <c r="C102" i="23"/>
  <c r="B102" i="23"/>
  <c r="A102" i="23"/>
  <c r="L101" i="23"/>
  <c r="K101" i="23"/>
  <c r="H101" i="23"/>
  <c r="G101" i="23"/>
  <c r="F101" i="23"/>
  <c r="E101" i="23"/>
  <c r="D101" i="23"/>
  <c r="C101" i="23"/>
  <c r="B101" i="23"/>
  <c r="A101" i="23"/>
  <c r="L100" i="23"/>
  <c r="K100" i="23"/>
  <c r="H100" i="23"/>
  <c r="G100" i="23"/>
  <c r="F100" i="23"/>
  <c r="E100" i="23"/>
  <c r="D100" i="23"/>
  <c r="C100" i="23"/>
  <c r="B100" i="23"/>
  <c r="A100" i="23"/>
  <c r="L99" i="23"/>
  <c r="K99" i="23"/>
  <c r="H99" i="23"/>
  <c r="G99" i="23"/>
  <c r="F99" i="23"/>
  <c r="E99" i="23"/>
  <c r="D99" i="23"/>
  <c r="C99" i="23"/>
  <c r="B99" i="23"/>
  <c r="A99" i="23"/>
  <c r="L98" i="23"/>
  <c r="K98" i="23"/>
  <c r="H98" i="23"/>
  <c r="G98" i="23"/>
  <c r="F98" i="23"/>
  <c r="E98" i="23"/>
  <c r="D98" i="23"/>
  <c r="C98" i="23"/>
  <c r="B98" i="23"/>
  <c r="A98" i="23"/>
  <c r="L97" i="23"/>
  <c r="K97" i="23"/>
  <c r="H97" i="23"/>
  <c r="G97" i="23"/>
  <c r="F97" i="23"/>
  <c r="E97" i="23"/>
  <c r="D97" i="23"/>
  <c r="C97" i="23"/>
  <c r="B97" i="23"/>
  <c r="A97" i="23"/>
  <c r="L96" i="23"/>
  <c r="K96" i="23"/>
  <c r="H96" i="23"/>
  <c r="G96" i="23"/>
  <c r="F96" i="23"/>
  <c r="E96" i="23"/>
  <c r="D96" i="23"/>
  <c r="C96" i="23"/>
  <c r="B96" i="23"/>
  <c r="A96" i="23"/>
  <c r="L95" i="23"/>
  <c r="K95" i="23"/>
  <c r="H95" i="23"/>
  <c r="G95" i="23"/>
  <c r="F95" i="23"/>
  <c r="E95" i="23"/>
  <c r="D95" i="23"/>
  <c r="C95" i="23"/>
  <c r="B95" i="23"/>
  <c r="A95" i="23"/>
  <c r="L94" i="23"/>
  <c r="K94" i="23"/>
  <c r="H94" i="23"/>
  <c r="G94" i="23"/>
  <c r="F94" i="23"/>
  <c r="E94" i="23"/>
  <c r="D94" i="23"/>
  <c r="C94" i="23"/>
  <c r="B94" i="23"/>
  <c r="A94" i="23"/>
  <c r="L93" i="23"/>
  <c r="K93" i="23"/>
  <c r="H93" i="23"/>
  <c r="G93" i="23"/>
  <c r="F93" i="23"/>
  <c r="E93" i="23"/>
  <c r="D93" i="23"/>
  <c r="C93" i="23"/>
  <c r="B93" i="23"/>
  <c r="A93" i="23"/>
  <c r="L92" i="23"/>
  <c r="K92" i="23"/>
  <c r="H92" i="23"/>
  <c r="G92" i="23"/>
  <c r="F92" i="23"/>
  <c r="E92" i="23"/>
  <c r="D92" i="23"/>
  <c r="C92" i="23"/>
  <c r="B92" i="23"/>
  <c r="A92" i="23"/>
  <c r="L91" i="23"/>
  <c r="K91" i="23"/>
  <c r="H91" i="23"/>
  <c r="G91" i="23"/>
  <c r="F91" i="23"/>
  <c r="E91" i="23"/>
  <c r="D91" i="23"/>
  <c r="C91" i="23"/>
  <c r="B91" i="23"/>
  <c r="A91" i="23"/>
  <c r="L90" i="23"/>
  <c r="K90" i="23"/>
  <c r="H90" i="23"/>
  <c r="G90" i="23"/>
  <c r="F90" i="23"/>
  <c r="E90" i="23"/>
  <c r="D90" i="23"/>
  <c r="C90" i="23"/>
  <c r="B90" i="23"/>
  <c r="A90" i="23"/>
  <c r="L89" i="23"/>
  <c r="K89" i="23"/>
  <c r="H89" i="23"/>
  <c r="G89" i="23"/>
  <c r="F89" i="23"/>
  <c r="E89" i="23"/>
  <c r="D89" i="23"/>
  <c r="C89" i="23"/>
  <c r="B89" i="23"/>
  <c r="A89" i="23"/>
  <c r="L88" i="23"/>
  <c r="K88" i="23"/>
  <c r="H88" i="23"/>
  <c r="G88" i="23"/>
  <c r="F88" i="23"/>
  <c r="E88" i="23"/>
  <c r="D88" i="23"/>
  <c r="C88" i="23"/>
  <c r="B88" i="23"/>
  <c r="A88" i="23"/>
  <c r="L87" i="23"/>
  <c r="K87" i="23"/>
  <c r="H87" i="23"/>
  <c r="G87" i="23"/>
  <c r="F87" i="23"/>
  <c r="E87" i="23"/>
  <c r="D87" i="23"/>
  <c r="C87" i="23"/>
  <c r="B87" i="23"/>
  <c r="A87" i="23"/>
  <c r="L86" i="23"/>
  <c r="K86" i="23"/>
  <c r="H86" i="23"/>
  <c r="G86" i="23"/>
  <c r="F86" i="23"/>
  <c r="E86" i="23"/>
  <c r="D86" i="23"/>
  <c r="C86" i="23"/>
  <c r="B86" i="23"/>
  <c r="A86" i="23"/>
  <c r="L85" i="23"/>
  <c r="K85" i="23"/>
  <c r="H85" i="23"/>
  <c r="G85" i="23"/>
  <c r="F85" i="23"/>
  <c r="E85" i="23"/>
  <c r="D85" i="23"/>
  <c r="C85" i="23"/>
  <c r="B85" i="23"/>
  <c r="A85" i="23"/>
  <c r="L84" i="23"/>
  <c r="K84" i="23"/>
  <c r="H84" i="23"/>
  <c r="G84" i="23"/>
  <c r="F84" i="23"/>
  <c r="E84" i="23"/>
  <c r="D84" i="23"/>
  <c r="C84" i="23"/>
  <c r="B84" i="23"/>
  <c r="A84" i="23"/>
  <c r="L83" i="23"/>
  <c r="K83" i="23"/>
  <c r="H83" i="23"/>
  <c r="G83" i="23"/>
  <c r="F83" i="23"/>
  <c r="E83" i="23"/>
  <c r="D83" i="23"/>
  <c r="C83" i="23"/>
  <c r="B83" i="23"/>
  <c r="A83" i="23"/>
  <c r="L82" i="23"/>
  <c r="K82" i="23"/>
  <c r="H82" i="23"/>
  <c r="G82" i="23"/>
  <c r="F82" i="23"/>
  <c r="E82" i="23"/>
  <c r="D82" i="23"/>
  <c r="C82" i="23"/>
  <c r="B82" i="23"/>
  <c r="A82" i="23"/>
  <c r="L81" i="23"/>
  <c r="K81" i="23"/>
  <c r="H81" i="23"/>
  <c r="G81" i="23"/>
  <c r="F81" i="23"/>
  <c r="E81" i="23"/>
  <c r="D81" i="23"/>
  <c r="C81" i="23"/>
  <c r="B81" i="23"/>
  <c r="A81" i="23"/>
  <c r="L80" i="23"/>
  <c r="K80" i="23"/>
  <c r="H80" i="23"/>
  <c r="G80" i="23"/>
  <c r="F80" i="23"/>
  <c r="E80" i="23"/>
  <c r="D80" i="23"/>
  <c r="C80" i="23"/>
  <c r="B80" i="23"/>
  <c r="A80" i="23"/>
  <c r="L79" i="23"/>
  <c r="K79" i="23"/>
  <c r="H79" i="23"/>
  <c r="G79" i="23"/>
  <c r="F79" i="23"/>
  <c r="E79" i="23"/>
  <c r="D79" i="23"/>
  <c r="C79" i="23"/>
  <c r="B79" i="23"/>
  <c r="A79" i="23"/>
  <c r="L78" i="23"/>
  <c r="K78" i="23"/>
  <c r="H78" i="23"/>
  <c r="G78" i="23"/>
  <c r="F78" i="23"/>
  <c r="E78" i="23"/>
  <c r="D78" i="23"/>
  <c r="C78" i="23"/>
  <c r="B78" i="23"/>
  <c r="A78" i="23"/>
  <c r="L77" i="23"/>
  <c r="K77" i="23"/>
  <c r="H77" i="23"/>
  <c r="G77" i="23"/>
  <c r="F77" i="23"/>
  <c r="E77" i="23"/>
  <c r="D77" i="23"/>
  <c r="C77" i="23"/>
  <c r="B77" i="23"/>
  <c r="A77" i="23"/>
  <c r="L76" i="23"/>
  <c r="K76" i="23"/>
  <c r="H76" i="23"/>
  <c r="G76" i="23"/>
  <c r="F76" i="23"/>
  <c r="E76" i="23"/>
  <c r="D76" i="23"/>
  <c r="C76" i="23"/>
  <c r="B76" i="23"/>
  <c r="A76" i="23"/>
  <c r="L75" i="23"/>
  <c r="K75" i="23"/>
  <c r="H75" i="23"/>
  <c r="G75" i="23"/>
  <c r="F75" i="23"/>
  <c r="E75" i="23"/>
  <c r="D75" i="23"/>
  <c r="C75" i="23"/>
  <c r="B75" i="23"/>
  <c r="A75" i="23"/>
  <c r="L74" i="23"/>
  <c r="K74" i="23"/>
  <c r="H74" i="23"/>
  <c r="G74" i="23"/>
  <c r="F74" i="23"/>
  <c r="E74" i="23"/>
  <c r="D74" i="23"/>
  <c r="C74" i="23"/>
  <c r="B74" i="23"/>
  <c r="A74" i="23"/>
  <c r="L73" i="23"/>
  <c r="K73" i="23"/>
  <c r="H73" i="23"/>
  <c r="G73" i="23"/>
  <c r="F73" i="23"/>
  <c r="E73" i="23"/>
  <c r="D73" i="23"/>
  <c r="C73" i="23"/>
  <c r="B73" i="23"/>
  <c r="A73" i="23"/>
  <c r="L72" i="23"/>
  <c r="K72" i="23"/>
  <c r="H72" i="23"/>
  <c r="G72" i="23"/>
  <c r="F72" i="23"/>
  <c r="E72" i="23"/>
  <c r="D72" i="23"/>
  <c r="C72" i="23"/>
  <c r="B72" i="23"/>
  <c r="A72" i="23"/>
  <c r="L71" i="23"/>
  <c r="K71" i="23"/>
  <c r="H71" i="23"/>
  <c r="G71" i="23"/>
  <c r="F71" i="23"/>
  <c r="E71" i="23"/>
  <c r="D71" i="23"/>
  <c r="C71" i="23"/>
  <c r="B71" i="23"/>
  <c r="A71" i="23"/>
  <c r="L70" i="23"/>
  <c r="K70" i="23"/>
  <c r="H70" i="23"/>
  <c r="G70" i="23"/>
  <c r="F70" i="23"/>
  <c r="E70" i="23"/>
  <c r="D70" i="23"/>
  <c r="C70" i="23"/>
  <c r="B70" i="23"/>
  <c r="A70" i="23"/>
  <c r="L69" i="23"/>
  <c r="K69" i="23"/>
  <c r="H69" i="23"/>
  <c r="G69" i="23"/>
  <c r="F69" i="23"/>
  <c r="E69" i="23"/>
  <c r="D69" i="23"/>
  <c r="C69" i="23"/>
  <c r="B69" i="23"/>
  <c r="A69" i="23"/>
  <c r="L68" i="23"/>
  <c r="K68" i="23"/>
  <c r="H68" i="23"/>
  <c r="G68" i="23"/>
  <c r="F68" i="23"/>
  <c r="E68" i="23"/>
  <c r="D68" i="23"/>
  <c r="C68" i="23"/>
  <c r="B68" i="23"/>
  <c r="A68" i="23"/>
  <c r="L67" i="23"/>
  <c r="K67" i="23"/>
  <c r="H67" i="23"/>
  <c r="G67" i="23"/>
  <c r="F67" i="23"/>
  <c r="E67" i="23"/>
  <c r="D67" i="23"/>
  <c r="C67" i="23"/>
  <c r="B67" i="23"/>
  <c r="A67" i="23"/>
  <c r="L66" i="23"/>
  <c r="K66" i="23"/>
  <c r="H66" i="23"/>
  <c r="G66" i="23"/>
  <c r="F66" i="23"/>
  <c r="E66" i="23"/>
  <c r="D66" i="23"/>
  <c r="C66" i="23"/>
  <c r="B66" i="23"/>
  <c r="A66" i="23"/>
  <c r="L65" i="23"/>
  <c r="K65" i="23"/>
  <c r="H65" i="23"/>
  <c r="G65" i="23"/>
  <c r="F65" i="23"/>
  <c r="E65" i="23"/>
  <c r="D65" i="23"/>
  <c r="C65" i="23"/>
  <c r="B65" i="23"/>
  <c r="A65" i="23"/>
  <c r="L64" i="23"/>
  <c r="K64" i="23"/>
  <c r="H64" i="23"/>
  <c r="G64" i="23"/>
  <c r="F64" i="23"/>
  <c r="E64" i="23"/>
  <c r="D64" i="23"/>
  <c r="C64" i="23"/>
  <c r="B64" i="23"/>
  <c r="A64" i="23"/>
  <c r="L63" i="23"/>
  <c r="K63" i="23"/>
  <c r="H63" i="23"/>
  <c r="G63" i="23"/>
  <c r="F63" i="23"/>
  <c r="E63" i="23"/>
  <c r="D63" i="23"/>
  <c r="C63" i="23"/>
  <c r="B63" i="23"/>
  <c r="A63" i="23"/>
  <c r="L62" i="23"/>
  <c r="K62" i="23"/>
  <c r="H62" i="23"/>
  <c r="G62" i="23"/>
  <c r="F62" i="23"/>
  <c r="E62" i="23"/>
  <c r="D62" i="23"/>
  <c r="C62" i="23"/>
  <c r="B62" i="23"/>
  <c r="A62" i="23"/>
  <c r="L61" i="23"/>
  <c r="K61" i="23"/>
  <c r="H61" i="23"/>
  <c r="G61" i="23"/>
  <c r="F61" i="23"/>
  <c r="E61" i="23"/>
  <c r="D61" i="23"/>
  <c r="C61" i="23"/>
  <c r="B61" i="23"/>
  <c r="A61" i="23"/>
  <c r="L60" i="23"/>
  <c r="K60" i="23"/>
  <c r="H60" i="23"/>
  <c r="G60" i="23"/>
  <c r="F60" i="23"/>
  <c r="E60" i="23"/>
  <c r="D60" i="23"/>
  <c r="C60" i="23"/>
  <c r="B60" i="23"/>
  <c r="A60" i="23"/>
  <c r="L59" i="23"/>
  <c r="K59" i="23"/>
  <c r="H59" i="23"/>
  <c r="G59" i="23"/>
  <c r="F59" i="23"/>
  <c r="E59" i="23"/>
  <c r="D59" i="23"/>
  <c r="C59" i="23"/>
  <c r="B59" i="23"/>
  <c r="A59" i="23"/>
  <c r="L58" i="23"/>
  <c r="K58" i="23"/>
  <c r="H58" i="23"/>
  <c r="G58" i="23"/>
  <c r="F58" i="23"/>
  <c r="E58" i="23"/>
  <c r="D58" i="23"/>
  <c r="C58" i="23"/>
  <c r="B58" i="23"/>
  <c r="A58" i="23"/>
  <c r="L57" i="23"/>
  <c r="K57" i="23"/>
  <c r="H57" i="23"/>
  <c r="G57" i="23"/>
  <c r="F57" i="23"/>
  <c r="E57" i="23"/>
  <c r="D57" i="23"/>
  <c r="C57" i="23"/>
  <c r="B57" i="23"/>
  <c r="A57" i="23"/>
  <c r="L56" i="23"/>
  <c r="K56" i="23"/>
  <c r="H56" i="23"/>
  <c r="G56" i="23"/>
  <c r="F56" i="23"/>
  <c r="E56" i="23"/>
  <c r="D56" i="23"/>
  <c r="C56" i="23"/>
  <c r="B56" i="23"/>
  <c r="A56" i="23"/>
  <c r="L55" i="23"/>
  <c r="K55" i="23"/>
  <c r="H55" i="23"/>
  <c r="G55" i="23"/>
  <c r="F55" i="23"/>
  <c r="E55" i="23"/>
  <c r="D55" i="23"/>
  <c r="C55" i="23"/>
  <c r="B55" i="23"/>
  <c r="A55" i="23"/>
  <c r="L54" i="23"/>
  <c r="K54" i="23"/>
  <c r="H54" i="23"/>
  <c r="G54" i="23"/>
  <c r="F54" i="23"/>
  <c r="E54" i="23"/>
  <c r="D54" i="23"/>
  <c r="C54" i="23"/>
  <c r="B54" i="23"/>
  <c r="A54" i="23"/>
  <c r="L53" i="23"/>
  <c r="K53" i="23"/>
  <c r="H53" i="23"/>
  <c r="G53" i="23"/>
  <c r="F53" i="23"/>
  <c r="E53" i="23"/>
  <c r="D53" i="23"/>
  <c r="C53" i="23"/>
  <c r="B53" i="23"/>
  <c r="A53" i="23"/>
  <c r="L52" i="23"/>
  <c r="K52" i="23"/>
  <c r="H52" i="23"/>
  <c r="G52" i="23"/>
  <c r="F52" i="23"/>
  <c r="E52" i="23"/>
  <c r="D52" i="23"/>
  <c r="C52" i="23"/>
  <c r="B52" i="23"/>
  <c r="A52" i="23"/>
  <c r="L51" i="23"/>
  <c r="K51" i="23"/>
  <c r="H51" i="23"/>
  <c r="G51" i="23"/>
  <c r="F51" i="23"/>
  <c r="E51" i="23"/>
  <c r="D51" i="23"/>
  <c r="C51" i="23"/>
  <c r="B51" i="23"/>
  <c r="A51" i="23"/>
  <c r="L50" i="23"/>
  <c r="K50" i="23"/>
  <c r="H50" i="23"/>
  <c r="G50" i="23"/>
  <c r="F50" i="23"/>
  <c r="E50" i="23"/>
  <c r="D50" i="23"/>
  <c r="C50" i="23"/>
  <c r="B50" i="23"/>
  <c r="A50" i="23"/>
  <c r="L49" i="23"/>
  <c r="K49" i="23"/>
  <c r="H49" i="23"/>
  <c r="G49" i="23"/>
  <c r="F49" i="23"/>
  <c r="E49" i="23"/>
  <c r="D49" i="23"/>
  <c r="C49" i="23"/>
  <c r="B49" i="23"/>
  <c r="A49" i="23"/>
  <c r="L48" i="23"/>
  <c r="K48" i="23"/>
  <c r="H48" i="23"/>
  <c r="G48" i="23"/>
  <c r="F48" i="23"/>
  <c r="E48" i="23"/>
  <c r="D48" i="23"/>
  <c r="C48" i="23"/>
  <c r="B48" i="23"/>
  <c r="A48" i="23"/>
  <c r="L47" i="23"/>
  <c r="K47" i="23"/>
  <c r="H47" i="23"/>
  <c r="G47" i="23"/>
  <c r="F47" i="23"/>
  <c r="E47" i="23"/>
  <c r="D47" i="23"/>
  <c r="C47" i="23"/>
  <c r="B47" i="23"/>
  <c r="A47" i="23"/>
  <c r="L46" i="23"/>
  <c r="K46" i="23"/>
  <c r="H46" i="23"/>
  <c r="G46" i="23"/>
  <c r="F46" i="23"/>
  <c r="E46" i="23"/>
  <c r="D46" i="23"/>
  <c r="C46" i="23"/>
  <c r="B46" i="23"/>
  <c r="A46" i="23"/>
  <c r="L45" i="23"/>
  <c r="K45" i="23"/>
  <c r="H45" i="23"/>
  <c r="G45" i="23"/>
  <c r="F45" i="23"/>
  <c r="E45" i="23"/>
  <c r="D45" i="23"/>
  <c r="C45" i="23"/>
  <c r="B45" i="23"/>
  <c r="A45" i="23"/>
  <c r="L44" i="23"/>
  <c r="K44" i="23"/>
  <c r="H44" i="23"/>
  <c r="G44" i="23"/>
  <c r="F44" i="23"/>
  <c r="E44" i="23"/>
  <c r="D44" i="23"/>
  <c r="C44" i="23"/>
  <c r="B44" i="23"/>
  <c r="A44" i="23"/>
  <c r="L43" i="23"/>
  <c r="K43" i="23"/>
  <c r="H43" i="23"/>
  <c r="G43" i="23"/>
  <c r="F43" i="23"/>
  <c r="E43" i="23"/>
  <c r="D43" i="23"/>
  <c r="C43" i="23"/>
  <c r="B43" i="23"/>
  <c r="A43" i="23"/>
  <c r="L42" i="23"/>
  <c r="K42" i="23"/>
  <c r="H42" i="23"/>
  <c r="G42" i="23"/>
  <c r="F42" i="23"/>
  <c r="E42" i="23"/>
  <c r="D42" i="23"/>
  <c r="C42" i="23"/>
  <c r="B42" i="23"/>
  <c r="A42" i="23"/>
  <c r="L41" i="23"/>
  <c r="K41" i="23"/>
  <c r="H41" i="23"/>
  <c r="G41" i="23"/>
  <c r="F41" i="23"/>
  <c r="E41" i="23"/>
  <c r="D41" i="23"/>
  <c r="C41" i="23"/>
  <c r="B41" i="23"/>
  <c r="A41" i="23"/>
  <c r="L40" i="23"/>
  <c r="K40" i="23"/>
  <c r="H40" i="23"/>
  <c r="G40" i="23"/>
  <c r="F40" i="23"/>
  <c r="E40" i="23"/>
  <c r="D40" i="23"/>
  <c r="C40" i="23"/>
  <c r="B40" i="23"/>
  <c r="A40" i="23"/>
  <c r="L39" i="23"/>
  <c r="K39" i="23"/>
  <c r="H39" i="23"/>
  <c r="G39" i="23"/>
  <c r="F39" i="23"/>
  <c r="E39" i="23"/>
  <c r="D39" i="23"/>
  <c r="C39" i="23"/>
  <c r="B39" i="23"/>
  <c r="A39" i="23"/>
  <c r="L38" i="23"/>
  <c r="K38" i="23"/>
  <c r="H38" i="23"/>
  <c r="G38" i="23"/>
  <c r="F38" i="23"/>
  <c r="E38" i="23"/>
  <c r="D38" i="23"/>
  <c r="C38" i="23"/>
  <c r="B38" i="23"/>
  <c r="A38" i="23"/>
  <c r="L37" i="23"/>
  <c r="K37" i="23"/>
  <c r="H37" i="23"/>
  <c r="G37" i="23"/>
  <c r="F37" i="23"/>
  <c r="E37" i="23"/>
  <c r="D37" i="23"/>
  <c r="C37" i="23"/>
  <c r="B37" i="23"/>
  <c r="A37" i="23"/>
  <c r="L36" i="23"/>
  <c r="K36" i="23"/>
  <c r="H36" i="23"/>
  <c r="G36" i="23"/>
  <c r="F36" i="23"/>
  <c r="E36" i="23"/>
  <c r="D36" i="23"/>
  <c r="C36" i="23"/>
  <c r="B36" i="23"/>
  <c r="A36" i="23"/>
  <c r="L35" i="23"/>
  <c r="K35" i="23"/>
  <c r="H35" i="23"/>
  <c r="G35" i="23"/>
  <c r="F35" i="23"/>
  <c r="E35" i="23"/>
  <c r="D35" i="23"/>
  <c r="C35" i="23"/>
  <c r="B35" i="23"/>
  <c r="A35" i="23"/>
  <c r="L34" i="23"/>
  <c r="K34" i="23"/>
  <c r="H34" i="23"/>
  <c r="G34" i="23"/>
  <c r="F34" i="23"/>
  <c r="E34" i="23"/>
  <c r="D34" i="23"/>
  <c r="C34" i="23"/>
  <c r="B34" i="23"/>
  <c r="A34" i="23"/>
  <c r="L33" i="23"/>
  <c r="K33" i="23"/>
  <c r="H33" i="23"/>
  <c r="G33" i="23"/>
  <c r="F33" i="23"/>
  <c r="E33" i="23"/>
  <c r="D33" i="23"/>
  <c r="C33" i="23"/>
  <c r="B33" i="23"/>
  <c r="A33" i="23"/>
  <c r="L32" i="23"/>
  <c r="K32" i="23"/>
  <c r="H32" i="23"/>
  <c r="G32" i="23"/>
  <c r="F32" i="23"/>
  <c r="E32" i="23"/>
  <c r="D32" i="23"/>
  <c r="C32" i="23"/>
  <c r="B32" i="23"/>
  <c r="A32" i="23"/>
  <c r="L31" i="23"/>
  <c r="K31" i="23"/>
  <c r="H31" i="23"/>
  <c r="G31" i="23"/>
  <c r="F31" i="23"/>
  <c r="E31" i="23"/>
  <c r="D31" i="23"/>
  <c r="C31" i="23"/>
  <c r="B31" i="23"/>
  <c r="A31" i="23"/>
  <c r="L30" i="23"/>
  <c r="K30" i="23"/>
  <c r="H30" i="23"/>
  <c r="G30" i="23"/>
  <c r="F30" i="23"/>
  <c r="E30" i="23"/>
  <c r="D30" i="23"/>
  <c r="C30" i="23"/>
  <c r="B30" i="23"/>
  <c r="A30" i="23"/>
  <c r="L29" i="23"/>
  <c r="K29" i="23"/>
  <c r="H29" i="23"/>
  <c r="G29" i="23"/>
  <c r="F29" i="23"/>
  <c r="E29" i="23"/>
  <c r="D29" i="23"/>
  <c r="C29" i="23"/>
  <c r="B29" i="23"/>
  <c r="A29" i="23"/>
  <c r="L28" i="23"/>
  <c r="K28" i="23"/>
  <c r="H28" i="23"/>
  <c r="G28" i="23"/>
  <c r="F28" i="23"/>
  <c r="E28" i="23"/>
  <c r="D28" i="23"/>
  <c r="C28" i="23"/>
  <c r="B28" i="23"/>
  <c r="A28" i="23"/>
  <c r="L27" i="23"/>
  <c r="K27" i="23"/>
  <c r="H27" i="23"/>
  <c r="G27" i="23"/>
  <c r="F27" i="23"/>
  <c r="E27" i="23"/>
  <c r="D27" i="23"/>
  <c r="C27" i="23"/>
  <c r="B27" i="23"/>
  <c r="A27" i="23"/>
  <c r="L26" i="23"/>
  <c r="K26" i="23"/>
  <c r="H26" i="23"/>
  <c r="G26" i="23"/>
  <c r="F26" i="23"/>
  <c r="E26" i="23"/>
  <c r="D26" i="23"/>
  <c r="C26" i="23"/>
  <c r="B26" i="23"/>
  <c r="A26" i="23"/>
  <c r="L25" i="23"/>
  <c r="K25" i="23"/>
  <c r="H25" i="23"/>
  <c r="G25" i="23"/>
  <c r="F25" i="23"/>
  <c r="E25" i="23"/>
  <c r="D25" i="23"/>
  <c r="C25" i="23"/>
  <c r="B25" i="23"/>
  <c r="A25" i="23"/>
  <c r="L24" i="23"/>
  <c r="K24" i="23"/>
  <c r="H24" i="23"/>
  <c r="G24" i="23"/>
  <c r="F24" i="23"/>
  <c r="E24" i="23"/>
  <c r="D24" i="23"/>
  <c r="C24" i="23"/>
  <c r="B24" i="23"/>
  <c r="A24" i="23"/>
  <c r="L23" i="23"/>
  <c r="K23" i="23"/>
  <c r="H23" i="23"/>
  <c r="G23" i="23"/>
  <c r="F23" i="23"/>
  <c r="E23" i="23"/>
  <c r="D23" i="23"/>
  <c r="C23" i="23"/>
  <c r="B23" i="23"/>
  <c r="A23" i="23"/>
  <c r="L22" i="23"/>
  <c r="K22" i="23"/>
  <c r="H22" i="23"/>
  <c r="G22" i="23"/>
  <c r="F22" i="23"/>
  <c r="E22" i="23"/>
  <c r="D22" i="23"/>
  <c r="C22" i="23"/>
  <c r="B22" i="23"/>
  <c r="A22" i="23"/>
  <c r="L21" i="23"/>
  <c r="K21" i="23"/>
  <c r="H21" i="23"/>
  <c r="G21" i="23"/>
  <c r="F21" i="23"/>
  <c r="E21" i="23"/>
  <c r="D21" i="23"/>
  <c r="C21" i="23"/>
  <c r="B21" i="23"/>
  <c r="A21" i="23"/>
  <c r="L20" i="23"/>
  <c r="K20" i="23"/>
  <c r="H20" i="23"/>
  <c r="G20" i="23"/>
  <c r="F20" i="23"/>
  <c r="E20" i="23"/>
  <c r="D20" i="23"/>
  <c r="C20" i="23"/>
  <c r="B20" i="23"/>
  <c r="A20" i="23"/>
  <c r="L19" i="23"/>
  <c r="K19" i="23"/>
  <c r="H19" i="23"/>
  <c r="G19" i="23"/>
  <c r="F19" i="23"/>
  <c r="E19" i="23"/>
  <c r="D19" i="23"/>
  <c r="C19" i="23"/>
  <c r="B19" i="23"/>
  <c r="A19" i="23"/>
  <c r="L18" i="23"/>
  <c r="K18" i="23"/>
  <c r="H18" i="23"/>
  <c r="G18" i="23"/>
  <c r="F18" i="23"/>
  <c r="E18" i="23"/>
  <c r="D18" i="23"/>
  <c r="C18" i="23"/>
  <c r="B18" i="23"/>
  <c r="A18" i="23"/>
  <c r="L17" i="23"/>
  <c r="K17" i="23"/>
  <c r="H17" i="23"/>
  <c r="G17" i="23"/>
  <c r="F17" i="23"/>
  <c r="E17" i="23"/>
  <c r="D17" i="23"/>
  <c r="C17" i="23"/>
  <c r="B17" i="23"/>
  <c r="A17" i="23"/>
  <c r="L16" i="23"/>
  <c r="K16" i="23"/>
  <c r="H16" i="23"/>
  <c r="G16" i="23"/>
  <c r="F16" i="23"/>
  <c r="E16" i="23"/>
  <c r="D16" i="23"/>
  <c r="C16" i="23"/>
  <c r="B16" i="23"/>
  <c r="A16" i="23"/>
  <c r="L15" i="23"/>
  <c r="K15" i="23"/>
  <c r="H15" i="23"/>
  <c r="G15" i="23"/>
  <c r="F15" i="23"/>
  <c r="E15" i="23"/>
  <c r="D15" i="23"/>
  <c r="C15" i="23"/>
  <c r="B15" i="23"/>
  <c r="A15" i="23"/>
  <c r="L14" i="23"/>
  <c r="K14" i="23"/>
  <c r="H14" i="23"/>
  <c r="G14" i="23"/>
  <c r="F14" i="23"/>
  <c r="E14" i="23"/>
  <c r="D14" i="23"/>
  <c r="C14" i="23"/>
  <c r="B14" i="23"/>
  <c r="A14" i="23"/>
  <c r="L13" i="23"/>
  <c r="K13" i="23"/>
  <c r="H13" i="23"/>
  <c r="G13" i="23"/>
  <c r="F13" i="23"/>
  <c r="E13" i="23"/>
  <c r="D13" i="23"/>
  <c r="C13" i="23"/>
  <c r="B13" i="23"/>
  <c r="A13" i="23"/>
  <c r="L12" i="23"/>
  <c r="K12" i="23"/>
  <c r="H12" i="23"/>
  <c r="G12" i="23"/>
  <c r="F12" i="23"/>
  <c r="E12" i="23"/>
  <c r="D12" i="23"/>
  <c r="C12" i="23"/>
  <c r="B12" i="23"/>
  <c r="A12" i="23"/>
  <c r="L11" i="23"/>
  <c r="K11" i="23"/>
  <c r="H11" i="23"/>
  <c r="G11" i="23"/>
  <c r="F11" i="23"/>
  <c r="E11" i="23"/>
  <c r="D11" i="23"/>
  <c r="C11" i="23"/>
  <c r="B11" i="23"/>
  <c r="A11" i="23"/>
  <c r="L10" i="23"/>
  <c r="K10" i="23"/>
  <c r="H10" i="23"/>
  <c r="G10" i="23"/>
  <c r="F10" i="23"/>
  <c r="E10" i="23"/>
  <c r="D10" i="23"/>
  <c r="C10" i="23"/>
  <c r="B10" i="23"/>
  <c r="A10" i="23"/>
  <c r="L9" i="23"/>
  <c r="K9" i="23"/>
  <c r="H9" i="23"/>
  <c r="G9" i="23"/>
  <c r="F9" i="23"/>
  <c r="E9" i="23"/>
  <c r="D9" i="23"/>
  <c r="C9" i="23"/>
  <c r="B9" i="23"/>
  <c r="A9" i="23"/>
  <c r="L8" i="23"/>
  <c r="K8" i="23"/>
  <c r="H8" i="23"/>
  <c r="G8" i="23"/>
  <c r="F8" i="23"/>
  <c r="E8" i="23"/>
  <c r="D8" i="23"/>
  <c r="C8" i="23"/>
  <c r="B8" i="23"/>
  <c r="A8" i="23"/>
  <c r="K7" i="23"/>
  <c r="H7" i="23"/>
  <c r="G7" i="23"/>
  <c r="F7" i="23"/>
  <c r="E7" i="23"/>
  <c r="D7" i="23"/>
  <c r="C7" i="23"/>
  <c r="B7" i="23"/>
  <c r="A7" i="23"/>
  <c r="J2" i="23"/>
  <c r="L110" i="22"/>
  <c r="K110" i="22"/>
  <c r="H110" i="22"/>
  <c r="G110" i="22"/>
  <c r="F110" i="22"/>
  <c r="E110" i="22"/>
  <c r="D110" i="22"/>
  <c r="C110" i="22"/>
  <c r="B110" i="22"/>
  <c r="A110" i="22"/>
  <c r="L109" i="22"/>
  <c r="K109" i="22"/>
  <c r="H109" i="22"/>
  <c r="G109" i="22"/>
  <c r="F109" i="22"/>
  <c r="E109" i="22"/>
  <c r="D109" i="22"/>
  <c r="C109" i="22"/>
  <c r="B109" i="22"/>
  <c r="A109" i="22"/>
  <c r="L108" i="22"/>
  <c r="K108" i="22"/>
  <c r="H108" i="22"/>
  <c r="G108" i="22"/>
  <c r="F108" i="22"/>
  <c r="E108" i="22"/>
  <c r="D108" i="22"/>
  <c r="C108" i="22"/>
  <c r="B108" i="22"/>
  <c r="A108" i="22"/>
  <c r="L107" i="22"/>
  <c r="K107" i="22"/>
  <c r="H107" i="22"/>
  <c r="G107" i="22"/>
  <c r="F107" i="22"/>
  <c r="E107" i="22"/>
  <c r="D107" i="22"/>
  <c r="C107" i="22"/>
  <c r="B107" i="22"/>
  <c r="A107" i="22"/>
  <c r="L106" i="22"/>
  <c r="K106" i="22"/>
  <c r="H106" i="22"/>
  <c r="G106" i="22"/>
  <c r="F106" i="22"/>
  <c r="E106" i="22"/>
  <c r="D106" i="22"/>
  <c r="C106" i="22"/>
  <c r="B106" i="22"/>
  <c r="A106" i="22"/>
  <c r="L105" i="22"/>
  <c r="K105" i="22"/>
  <c r="H105" i="22"/>
  <c r="G105" i="22"/>
  <c r="F105" i="22"/>
  <c r="E105" i="22"/>
  <c r="D105" i="22"/>
  <c r="C105" i="22"/>
  <c r="B105" i="22"/>
  <c r="A105" i="22"/>
  <c r="L104" i="22"/>
  <c r="K104" i="22"/>
  <c r="H104" i="22"/>
  <c r="G104" i="22"/>
  <c r="F104" i="22"/>
  <c r="E104" i="22"/>
  <c r="D104" i="22"/>
  <c r="C104" i="22"/>
  <c r="B104" i="22"/>
  <c r="A104" i="22"/>
  <c r="L103" i="22"/>
  <c r="K103" i="22"/>
  <c r="H103" i="22"/>
  <c r="G103" i="22"/>
  <c r="F103" i="22"/>
  <c r="E103" i="22"/>
  <c r="D103" i="22"/>
  <c r="C103" i="22"/>
  <c r="B103" i="22"/>
  <c r="A103" i="22"/>
  <c r="L102" i="22"/>
  <c r="K102" i="22"/>
  <c r="H102" i="22"/>
  <c r="G102" i="22"/>
  <c r="F102" i="22"/>
  <c r="E102" i="22"/>
  <c r="D102" i="22"/>
  <c r="C102" i="22"/>
  <c r="B102" i="22"/>
  <c r="A102" i="22"/>
  <c r="L101" i="22"/>
  <c r="K101" i="22"/>
  <c r="H101" i="22"/>
  <c r="G101" i="22"/>
  <c r="F101" i="22"/>
  <c r="E101" i="22"/>
  <c r="D101" i="22"/>
  <c r="C101" i="22"/>
  <c r="B101" i="22"/>
  <c r="A101" i="22"/>
  <c r="L100" i="22"/>
  <c r="K100" i="22"/>
  <c r="H100" i="22"/>
  <c r="G100" i="22"/>
  <c r="F100" i="22"/>
  <c r="E100" i="22"/>
  <c r="D100" i="22"/>
  <c r="C100" i="22"/>
  <c r="B100" i="22"/>
  <c r="A100" i="22"/>
  <c r="L99" i="22"/>
  <c r="K99" i="22"/>
  <c r="H99" i="22"/>
  <c r="G99" i="22"/>
  <c r="F99" i="22"/>
  <c r="E99" i="22"/>
  <c r="D99" i="22"/>
  <c r="C99" i="22"/>
  <c r="B99" i="22"/>
  <c r="A99" i="22"/>
  <c r="L98" i="22"/>
  <c r="K98" i="22"/>
  <c r="H98" i="22"/>
  <c r="G98" i="22"/>
  <c r="F98" i="22"/>
  <c r="E98" i="22"/>
  <c r="D98" i="22"/>
  <c r="C98" i="22"/>
  <c r="B98" i="22"/>
  <c r="A98" i="22"/>
  <c r="L97" i="22"/>
  <c r="K97" i="22"/>
  <c r="H97" i="22"/>
  <c r="G97" i="22"/>
  <c r="F97" i="22"/>
  <c r="E97" i="22"/>
  <c r="D97" i="22"/>
  <c r="C97" i="22"/>
  <c r="B97" i="22"/>
  <c r="A97" i="22"/>
  <c r="L96" i="22"/>
  <c r="K96" i="22"/>
  <c r="H96" i="22"/>
  <c r="G96" i="22"/>
  <c r="F96" i="22"/>
  <c r="E96" i="22"/>
  <c r="D96" i="22"/>
  <c r="C96" i="22"/>
  <c r="B96" i="22"/>
  <c r="A96" i="22"/>
  <c r="L95" i="22"/>
  <c r="K95" i="22"/>
  <c r="H95" i="22"/>
  <c r="G95" i="22"/>
  <c r="F95" i="22"/>
  <c r="E95" i="22"/>
  <c r="D95" i="22"/>
  <c r="C95" i="22"/>
  <c r="B95" i="22"/>
  <c r="A95" i="22"/>
  <c r="L94" i="22"/>
  <c r="K94" i="22"/>
  <c r="H94" i="22"/>
  <c r="G94" i="22"/>
  <c r="F94" i="22"/>
  <c r="E94" i="22"/>
  <c r="D94" i="22"/>
  <c r="C94" i="22"/>
  <c r="B94" i="22"/>
  <c r="A94" i="22"/>
  <c r="L93" i="22"/>
  <c r="K93" i="22"/>
  <c r="H93" i="22"/>
  <c r="G93" i="22"/>
  <c r="F93" i="22"/>
  <c r="E93" i="22"/>
  <c r="D93" i="22"/>
  <c r="C93" i="22"/>
  <c r="B93" i="22"/>
  <c r="A93" i="22"/>
  <c r="L92" i="22"/>
  <c r="K92" i="22"/>
  <c r="H92" i="22"/>
  <c r="G92" i="22"/>
  <c r="F92" i="22"/>
  <c r="E92" i="22"/>
  <c r="D92" i="22"/>
  <c r="C92" i="22"/>
  <c r="B92" i="22"/>
  <c r="A92" i="22"/>
  <c r="L91" i="22"/>
  <c r="K91" i="22"/>
  <c r="H91" i="22"/>
  <c r="G91" i="22"/>
  <c r="F91" i="22"/>
  <c r="E91" i="22"/>
  <c r="D91" i="22"/>
  <c r="C91" i="22"/>
  <c r="B91" i="22"/>
  <c r="A91" i="22"/>
  <c r="L90" i="22"/>
  <c r="K90" i="22"/>
  <c r="H90" i="22"/>
  <c r="G90" i="22"/>
  <c r="F90" i="22"/>
  <c r="E90" i="22"/>
  <c r="D90" i="22"/>
  <c r="C90" i="22"/>
  <c r="B90" i="22"/>
  <c r="A90" i="22"/>
  <c r="L89" i="22"/>
  <c r="K89" i="22"/>
  <c r="H89" i="22"/>
  <c r="G89" i="22"/>
  <c r="F89" i="22"/>
  <c r="E89" i="22"/>
  <c r="D89" i="22"/>
  <c r="C89" i="22"/>
  <c r="B89" i="22"/>
  <c r="A89" i="22"/>
  <c r="L88" i="22"/>
  <c r="K88" i="22"/>
  <c r="H88" i="22"/>
  <c r="G88" i="22"/>
  <c r="F88" i="22"/>
  <c r="E88" i="22"/>
  <c r="D88" i="22"/>
  <c r="C88" i="22"/>
  <c r="B88" i="22"/>
  <c r="A88" i="22"/>
  <c r="L87" i="22"/>
  <c r="K87" i="22"/>
  <c r="H87" i="22"/>
  <c r="G87" i="22"/>
  <c r="F87" i="22"/>
  <c r="E87" i="22"/>
  <c r="D87" i="22"/>
  <c r="C87" i="22"/>
  <c r="B87" i="22"/>
  <c r="A87" i="22"/>
  <c r="L86" i="22"/>
  <c r="K86" i="22"/>
  <c r="H86" i="22"/>
  <c r="G86" i="22"/>
  <c r="F86" i="22"/>
  <c r="E86" i="22"/>
  <c r="D86" i="22"/>
  <c r="C86" i="22"/>
  <c r="B86" i="22"/>
  <c r="A86" i="22"/>
  <c r="L85" i="22"/>
  <c r="K85" i="22"/>
  <c r="H85" i="22"/>
  <c r="G85" i="22"/>
  <c r="F85" i="22"/>
  <c r="E85" i="22"/>
  <c r="D85" i="22"/>
  <c r="C85" i="22"/>
  <c r="B85" i="22"/>
  <c r="A85" i="22"/>
  <c r="L84" i="22"/>
  <c r="K84" i="22"/>
  <c r="H84" i="22"/>
  <c r="G84" i="22"/>
  <c r="F84" i="22"/>
  <c r="E84" i="22"/>
  <c r="D84" i="22"/>
  <c r="C84" i="22"/>
  <c r="B84" i="22"/>
  <c r="A84" i="22"/>
  <c r="L83" i="22"/>
  <c r="K83" i="22"/>
  <c r="H83" i="22"/>
  <c r="G83" i="22"/>
  <c r="F83" i="22"/>
  <c r="E83" i="22"/>
  <c r="D83" i="22"/>
  <c r="C83" i="22"/>
  <c r="B83" i="22"/>
  <c r="A83" i="22"/>
  <c r="L82" i="22"/>
  <c r="K82" i="22"/>
  <c r="H82" i="22"/>
  <c r="G82" i="22"/>
  <c r="F82" i="22"/>
  <c r="E82" i="22"/>
  <c r="D82" i="22"/>
  <c r="C82" i="22"/>
  <c r="B82" i="22"/>
  <c r="A82" i="22"/>
  <c r="L81" i="22"/>
  <c r="K81" i="22"/>
  <c r="H81" i="22"/>
  <c r="G81" i="22"/>
  <c r="F81" i="22"/>
  <c r="E81" i="22"/>
  <c r="D81" i="22"/>
  <c r="C81" i="22"/>
  <c r="B81" i="22"/>
  <c r="A81" i="22"/>
  <c r="L80" i="22"/>
  <c r="K80" i="22"/>
  <c r="H80" i="22"/>
  <c r="G80" i="22"/>
  <c r="F80" i="22"/>
  <c r="E80" i="22"/>
  <c r="D80" i="22"/>
  <c r="C80" i="22"/>
  <c r="B80" i="22"/>
  <c r="A80" i="22"/>
  <c r="L79" i="22"/>
  <c r="K79" i="22"/>
  <c r="H79" i="22"/>
  <c r="G79" i="22"/>
  <c r="F79" i="22"/>
  <c r="E79" i="22"/>
  <c r="D79" i="22"/>
  <c r="C79" i="22"/>
  <c r="B79" i="22"/>
  <c r="A79" i="22"/>
  <c r="L78" i="22"/>
  <c r="K78" i="22"/>
  <c r="H78" i="22"/>
  <c r="G78" i="22"/>
  <c r="F78" i="22"/>
  <c r="E78" i="22"/>
  <c r="D78" i="22"/>
  <c r="C78" i="22"/>
  <c r="B78" i="22"/>
  <c r="A78" i="22"/>
  <c r="L77" i="22"/>
  <c r="K77" i="22"/>
  <c r="H77" i="22"/>
  <c r="G77" i="22"/>
  <c r="F77" i="22"/>
  <c r="E77" i="22"/>
  <c r="D77" i="22"/>
  <c r="C77" i="22"/>
  <c r="B77" i="22"/>
  <c r="A77" i="22"/>
  <c r="L76" i="22"/>
  <c r="K76" i="22"/>
  <c r="H76" i="22"/>
  <c r="G76" i="22"/>
  <c r="F76" i="22"/>
  <c r="E76" i="22"/>
  <c r="D76" i="22"/>
  <c r="C76" i="22"/>
  <c r="B76" i="22"/>
  <c r="A76" i="22"/>
  <c r="L75" i="22"/>
  <c r="K75" i="22"/>
  <c r="H75" i="22"/>
  <c r="G75" i="22"/>
  <c r="F75" i="22"/>
  <c r="E75" i="22"/>
  <c r="D75" i="22"/>
  <c r="C75" i="22"/>
  <c r="B75" i="22"/>
  <c r="A75" i="22"/>
  <c r="L74" i="22"/>
  <c r="K74" i="22"/>
  <c r="H74" i="22"/>
  <c r="G74" i="22"/>
  <c r="F74" i="22"/>
  <c r="E74" i="22"/>
  <c r="D74" i="22"/>
  <c r="C74" i="22"/>
  <c r="B74" i="22"/>
  <c r="A74" i="22"/>
  <c r="L73" i="22"/>
  <c r="K73" i="22"/>
  <c r="H73" i="22"/>
  <c r="G73" i="22"/>
  <c r="F73" i="22"/>
  <c r="E73" i="22"/>
  <c r="D73" i="22"/>
  <c r="C73" i="22"/>
  <c r="B73" i="22"/>
  <c r="A73" i="22"/>
  <c r="L72" i="22"/>
  <c r="K72" i="22"/>
  <c r="H72" i="22"/>
  <c r="G72" i="22"/>
  <c r="F72" i="22"/>
  <c r="E72" i="22"/>
  <c r="D72" i="22"/>
  <c r="C72" i="22"/>
  <c r="B72" i="22"/>
  <c r="A72" i="22"/>
  <c r="L71" i="22"/>
  <c r="K71" i="22"/>
  <c r="H71" i="22"/>
  <c r="G71" i="22"/>
  <c r="F71" i="22"/>
  <c r="E71" i="22"/>
  <c r="D71" i="22"/>
  <c r="C71" i="22"/>
  <c r="B71" i="22"/>
  <c r="A71" i="22"/>
  <c r="L70" i="22"/>
  <c r="K70" i="22"/>
  <c r="H70" i="22"/>
  <c r="G70" i="22"/>
  <c r="F70" i="22"/>
  <c r="E70" i="22"/>
  <c r="D70" i="22"/>
  <c r="C70" i="22"/>
  <c r="B70" i="22"/>
  <c r="A70" i="22"/>
  <c r="L69" i="22"/>
  <c r="K69" i="22"/>
  <c r="H69" i="22"/>
  <c r="G69" i="22"/>
  <c r="F69" i="22"/>
  <c r="E69" i="22"/>
  <c r="D69" i="22"/>
  <c r="C69" i="22"/>
  <c r="B69" i="22"/>
  <c r="A69" i="22"/>
  <c r="L68" i="22"/>
  <c r="K68" i="22"/>
  <c r="H68" i="22"/>
  <c r="G68" i="22"/>
  <c r="F68" i="22"/>
  <c r="E68" i="22"/>
  <c r="D68" i="22"/>
  <c r="C68" i="22"/>
  <c r="B68" i="22"/>
  <c r="A68" i="22"/>
  <c r="L67" i="22"/>
  <c r="K67" i="22"/>
  <c r="H67" i="22"/>
  <c r="G67" i="22"/>
  <c r="F67" i="22"/>
  <c r="E67" i="22"/>
  <c r="D67" i="22"/>
  <c r="C67" i="22"/>
  <c r="B67" i="22"/>
  <c r="A67" i="22"/>
  <c r="L66" i="22"/>
  <c r="K66" i="22"/>
  <c r="H66" i="22"/>
  <c r="G66" i="22"/>
  <c r="F66" i="22"/>
  <c r="E66" i="22"/>
  <c r="D66" i="22"/>
  <c r="C66" i="22"/>
  <c r="B66" i="22"/>
  <c r="A66" i="22"/>
  <c r="L65" i="22"/>
  <c r="K65" i="22"/>
  <c r="H65" i="22"/>
  <c r="G65" i="22"/>
  <c r="F65" i="22"/>
  <c r="E65" i="22"/>
  <c r="D65" i="22"/>
  <c r="C65" i="22"/>
  <c r="B65" i="22"/>
  <c r="A65" i="22"/>
  <c r="L64" i="22"/>
  <c r="K64" i="22"/>
  <c r="H64" i="22"/>
  <c r="G64" i="22"/>
  <c r="F64" i="22"/>
  <c r="E64" i="22"/>
  <c r="D64" i="22"/>
  <c r="C64" i="22"/>
  <c r="B64" i="22"/>
  <c r="A64" i="22"/>
  <c r="L63" i="22"/>
  <c r="K63" i="22"/>
  <c r="H63" i="22"/>
  <c r="G63" i="22"/>
  <c r="F63" i="22"/>
  <c r="E63" i="22"/>
  <c r="D63" i="22"/>
  <c r="C63" i="22"/>
  <c r="B63" i="22"/>
  <c r="A63" i="22"/>
  <c r="L62" i="22"/>
  <c r="K62" i="22"/>
  <c r="H62" i="22"/>
  <c r="G62" i="22"/>
  <c r="F62" i="22"/>
  <c r="E62" i="22"/>
  <c r="D62" i="22"/>
  <c r="C62" i="22"/>
  <c r="B62" i="22"/>
  <c r="A62" i="22"/>
  <c r="L61" i="22"/>
  <c r="K61" i="22"/>
  <c r="H61" i="22"/>
  <c r="G61" i="22"/>
  <c r="F61" i="22"/>
  <c r="E61" i="22"/>
  <c r="D61" i="22"/>
  <c r="C61" i="22"/>
  <c r="B61" i="22"/>
  <c r="A61" i="22"/>
  <c r="L60" i="22"/>
  <c r="K60" i="22"/>
  <c r="H60" i="22"/>
  <c r="G60" i="22"/>
  <c r="F60" i="22"/>
  <c r="E60" i="22"/>
  <c r="D60" i="22"/>
  <c r="C60" i="22"/>
  <c r="B60" i="22"/>
  <c r="A60" i="22"/>
  <c r="L59" i="22"/>
  <c r="K59" i="22"/>
  <c r="H59" i="22"/>
  <c r="G59" i="22"/>
  <c r="F59" i="22"/>
  <c r="E59" i="22"/>
  <c r="D59" i="22"/>
  <c r="C59" i="22"/>
  <c r="B59" i="22"/>
  <c r="A59" i="22"/>
  <c r="L58" i="22"/>
  <c r="K58" i="22"/>
  <c r="H58" i="22"/>
  <c r="G58" i="22"/>
  <c r="F58" i="22"/>
  <c r="E58" i="22"/>
  <c r="D58" i="22"/>
  <c r="C58" i="22"/>
  <c r="B58" i="22"/>
  <c r="A58" i="22"/>
  <c r="L57" i="22"/>
  <c r="K57" i="22"/>
  <c r="H57" i="22"/>
  <c r="G57" i="22"/>
  <c r="F57" i="22"/>
  <c r="E57" i="22"/>
  <c r="D57" i="22"/>
  <c r="C57" i="22"/>
  <c r="B57" i="22"/>
  <c r="A57" i="22"/>
  <c r="L56" i="22"/>
  <c r="K56" i="22"/>
  <c r="H56" i="22"/>
  <c r="G56" i="22"/>
  <c r="F56" i="22"/>
  <c r="E56" i="22"/>
  <c r="D56" i="22"/>
  <c r="C56" i="22"/>
  <c r="B56" i="22"/>
  <c r="A56" i="22"/>
  <c r="L55" i="22"/>
  <c r="K55" i="22"/>
  <c r="H55" i="22"/>
  <c r="G55" i="22"/>
  <c r="F55" i="22"/>
  <c r="E55" i="22"/>
  <c r="D55" i="22"/>
  <c r="C55" i="22"/>
  <c r="B55" i="22"/>
  <c r="A55" i="22"/>
  <c r="L54" i="22"/>
  <c r="K54" i="22"/>
  <c r="H54" i="22"/>
  <c r="G54" i="22"/>
  <c r="F54" i="22"/>
  <c r="E54" i="22"/>
  <c r="D54" i="22"/>
  <c r="C54" i="22"/>
  <c r="B54" i="22"/>
  <c r="A54" i="22"/>
  <c r="L53" i="22"/>
  <c r="K53" i="22"/>
  <c r="H53" i="22"/>
  <c r="G53" i="22"/>
  <c r="F53" i="22"/>
  <c r="E53" i="22"/>
  <c r="D53" i="22"/>
  <c r="C53" i="22"/>
  <c r="B53" i="22"/>
  <c r="A53" i="22"/>
  <c r="L52" i="22"/>
  <c r="K52" i="22"/>
  <c r="H52" i="22"/>
  <c r="G52" i="22"/>
  <c r="F52" i="22"/>
  <c r="E52" i="22"/>
  <c r="D52" i="22"/>
  <c r="C52" i="22"/>
  <c r="B52" i="22"/>
  <c r="A52" i="22"/>
  <c r="L51" i="22"/>
  <c r="K51" i="22"/>
  <c r="H51" i="22"/>
  <c r="G51" i="22"/>
  <c r="F51" i="22"/>
  <c r="E51" i="22"/>
  <c r="D51" i="22"/>
  <c r="C51" i="22"/>
  <c r="B51" i="22"/>
  <c r="A51" i="22"/>
  <c r="L50" i="22"/>
  <c r="K50" i="22"/>
  <c r="H50" i="22"/>
  <c r="G50" i="22"/>
  <c r="F50" i="22"/>
  <c r="E50" i="22"/>
  <c r="D50" i="22"/>
  <c r="C50" i="22"/>
  <c r="B50" i="22"/>
  <c r="A50" i="22"/>
  <c r="L49" i="22"/>
  <c r="K49" i="22"/>
  <c r="H49" i="22"/>
  <c r="G49" i="22"/>
  <c r="F49" i="22"/>
  <c r="E49" i="22"/>
  <c r="D49" i="22"/>
  <c r="C49" i="22"/>
  <c r="B49" i="22"/>
  <c r="A49" i="22"/>
  <c r="L48" i="22"/>
  <c r="K48" i="22"/>
  <c r="H48" i="22"/>
  <c r="G48" i="22"/>
  <c r="F48" i="22"/>
  <c r="E48" i="22"/>
  <c r="D48" i="22"/>
  <c r="C48" i="22"/>
  <c r="B48" i="22"/>
  <c r="A48" i="22"/>
  <c r="L47" i="22"/>
  <c r="K47" i="22"/>
  <c r="H47" i="22"/>
  <c r="G47" i="22"/>
  <c r="F47" i="22"/>
  <c r="E47" i="22"/>
  <c r="D47" i="22"/>
  <c r="C47" i="22"/>
  <c r="B47" i="22"/>
  <c r="A47" i="22"/>
  <c r="L46" i="22"/>
  <c r="K46" i="22"/>
  <c r="H46" i="22"/>
  <c r="G46" i="22"/>
  <c r="F46" i="22"/>
  <c r="E46" i="22"/>
  <c r="D46" i="22"/>
  <c r="C46" i="22"/>
  <c r="B46" i="22"/>
  <c r="A46" i="22"/>
  <c r="L45" i="22"/>
  <c r="K45" i="22"/>
  <c r="H45" i="22"/>
  <c r="G45" i="22"/>
  <c r="F45" i="22"/>
  <c r="E45" i="22"/>
  <c r="D45" i="22"/>
  <c r="C45" i="22"/>
  <c r="B45" i="22"/>
  <c r="A45" i="22"/>
  <c r="L44" i="22"/>
  <c r="K44" i="22"/>
  <c r="H44" i="22"/>
  <c r="G44" i="22"/>
  <c r="F44" i="22"/>
  <c r="E44" i="22"/>
  <c r="D44" i="22"/>
  <c r="C44" i="22"/>
  <c r="B44" i="22"/>
  <c r="A44" i="22"/>
  <c r="L43" i="22"/>
  <c r="K43" i="22"/>
  <c r="H43" i="22"/>
  <c r="G43" i="22"/>
  <c r="F43" i="22"/>
  <c r="E43" i="22"/>
  <c r="D43" i="22"/>
  <c r="C43" i="22"/>
  <c r="B43" i="22"/>
  <c r="A43" i="22"/>
  <c r="L42" i="22"/>
  <c r="K42" i="22"/>
  <c r="H42" i="22"/>
  <c r="G42" i="22"/>
  <c r="F42" i="22"/>
  <c r="E42" i="22"/>
  <c r="D42" i="22"/>
  <c r="C42" i="22"/>
  <c r="B42" i="22"/>
  <c r="A42" i="22"/>
  <c r="L41" i="22"/>
  <c r="K41" i="22"/>
  <c r="H41" i="22"/>
  <c r="G41" i="22"/>
  <c r="F41" i="22"/>
  <c r="E41" i="22"/>
  <c r="D41" i="22"/>
  <c r="C41" i="22"/>
  <c r="B41" i="22"/>
  <c r="A41" i="22"/>
  <c r="L40" i="22"/>
  <c r="K40" i="22"/>
  <c r="H40" i="22"/>
  <c r="G40" i="22"/>
  <c r="F40" i="22"/>
  <c r="E40" i="22"/>
  <c r="D40" i="22"/>
  <c r="C40" i="22"/>
  <c r="B40" i="22"/>
  <c r="A40" i="22"/>
  <c r="L39" i="22"/>
  <c r="K39" i="22"/>
  <c r="H39" i="22"/>
  <c r="G39" i="22"/>
  <c r="F39" i="22"/>
  <c r="E39" i="22"/>
  <c r="D39" i="22"/>
  <c r="C39" i="22"/>
  <c r="B39" i="22"/>
  <c r="A39" i="22"/>
  <c r="L38" i="22"/>
  <c r="K38" i="22"/>
  <c r="H38" i="22"/>
  <c r="G38" i="22"/>
  <c r="F38" i="22"/>
  <c r="E38" i="22"/>
  <c r="D38" i="22"/>
  <c r="C38" i="22"/>
  <c r="B38" i="22"/>
  <c r="A38" i="22"/>
  <c r="L37" i="22"/>
  <c r="K37" i="22"/>
  <c r="H37" i="22"/>
  <c r="G37" i="22"/>
  <c r="F37" i="22"/>
  <c r="E37" i="22"/>
  <c r="D37" i="22"/>
  <c r="C37" i="22"/>
  <c r="B37" i="22"/>
  <c r="A37" i="22"/>
  <c r="L36" i="22"/>
  <c r="K36" i="22"/>
  <c r="H36" i="22"/>
  <c r="G36" i="22"/>
  <c r="F36" i="22"/>
  <c r="E36" i="22"/>
  <c r="D36" i="22"/>
  <c r="C36" i="22"/>
  <c r="B36" i="22"/>
  <c r="A36" i="22"/>
  <c r="L35" i="22"/>
  <c r="K35" i="22"/>
  <c r="H35" i="22"/>
  <c r="G35" i="22"/>
  <c r="F35" i="22"/>
  <c r="E35" i="22"/>
  <c r="D35" i="22"/>
  <c r="C35" i="22"/>
  <c r="B35" i="22"/>
  <c r="A35" i="22"/>
  <c r="L34" i="22"/>
  <c r="K34" i="22"/>
  <c r="H34" i="22"/>
  <c r="G34" i="22"/>
  <c r="F34" i="22"/>
  <c r="E34" i="22"/>
  <c r="D34" i="22"/>
  <c r="C34" i="22"/>
  <c r="B34" i="22"/>
  <c r="A34" i="22"/>
  <c r="L33" i="22"/>
  <c r="K33" i="22"/>
  <c r="H33" i="22"/>
  <c r="G33" i="22"/>
  <c r="F33" i="22"/>
  <c r="E33" i="22"/>
  <c r="D33" i="22"/>
  <c r="C33" i="22"/>
  <c r="B33" i="22"/>
  <c r="A33" i="22"/>
  <c r="L32" i="22"/>
  <c r="K32" i="22"/>
  <c r="H32" i="22"/>
  <c r="G32" i="22"/>
  <c r="F32" i="22"/>
  <c r="E32" i="22"/>
  <c r="D32" i="22"/>
  <c r="C32" i="22"/>
  <c r="B32" i="22"/>
  <c r="A32" i="22"/>
  <c r="L31" i="22"/>
  <c r="K31" i="22"/>
  <c r="H31" i="22"/>
  <c r="G31" i="22"/>
  <c r="F31" i="22"/>
  <c r="E31" i="22"/>
  <c r="D31" i="22"/>
  <c r="C31" i="22"/>
  <c r="B31" i="22"/>
  <c r="A31" i="22"/>
  <c r="L30" i="22"/>
  <c r="K30" i="22"/>
  <c r="H30" i="22"/>
  <c r="G30" i="22"/>
  <c r="F30" i="22"/>
  <c r="E30" i="22"/>
  <c r="D30" i="22"/>
  <c r="C30" i="22"/>
  <c r="B30" i="22"/>
  <c r="A30" i="22"/>
  <c r="L29" i="22"/>
  <c r="K29" i="22"/>
  <c r="H29" i="22"/>
  <c r="G29" i="22"/>
  <c r="F29" i="22"/>
  <c r="E29" i="22"/>
  <c r="D29" i="22"/>
  <c r="C29" i="22"/>
  <c r="B29" i="22"/>
  <c r="A29" i="22"/>
  <c r="L28" i="22"/>
  <c r="K28" i="22"/>
  <c r="H28" i="22"/>
  <c r="G28" i="22"/>
  <c r="F28" i="22"/>
  <c r="E28" i="22"/>
  <c r="D28" i="22"/>
  <c r="C28" i="22"/>
  <c r="B28" i="22"/>
  <c r="A28" i="22"/>
  <c r="L27" i="22"/>
  <c r="K27" i="22"/>
  <c r="H27" i="22"/>
  <c r="G27" i="22"/>
  <c r="F27" i="22"/>
  <c r="E27" i="22"/>
  <c r="D27" i="22"/>
  <c r="C27" i="22"/>
  <c r="B27" i="22"/>
  <c r="A27" i="22"/>
  <c r="L26" i="22"/>
  <c r="K26" i="22"/>
  <c r="H26" i="22"/>
  <c r="G26" i="22"/>
  <c r="F26" i="22"/>
  <c r="E26" i="22"/>
  <c r="D26" i="22"/>
  <c r="C26" i="22"/>
  <c r="B26" i="22"/>
  <c r="A26" i="22"/>
  <c r="L25" i="22"/>
  <c r="K25" i="22"/>
  <c r="H25" i="22"/>
  <c r="G25" i="22"/>
  <c r="F25" i="22"/>
  <c r="E25" i="22"/>
  <c r="D25" i="22"/>
  <c r="C25" i="22"/>
  <c r="B25" i="22"/>
  <c r="A25" i="22"/>
  <c r="L24" i="22"/>
  <c r="K24" i="22"/>
  <c r="H24" i="22"/>
  <c r="G24" i="22"/>
  <c r="F24" i="22"/>
  <c r="E24" i="22"/>
  <c r="D24" i="22"/>
  <c r="C24" i="22"/>
  <c r="B24" i="22"/>
  <c r="A24" i="22"/>
  <c r="L23" i="22"/>
  <c r="K23" i="22"/>
  <c r="H23" i="22"/>
  <c r="G23" i="22"/>
  <c r="F23" i="22"/>
  <c r="E23" i="22"/>
  <c r="D23" i="22"/>
  <c r="C23" i="22"/>
  <c r="B23" i="22"/>
  <c r="A23" i="22"/>
  <c r="L22" i="22"/>
  <c r="K22" i="22"/>
  <c r="H22" i="22"/>
  <c r="G22" i="22"/>
  <c r="F22" i="22"/>
  <c r="E22" i="22"/>
  <c r="D22" i="22"/>
  <c r="C22" i="22"/>
  <c r="B22" i="22"/>
  <c r="A22" i="22"/>
  <c r="L21" i="22"/>
  <c r="K21" i="22"/>
  <c r="H21" i="22"/>
  <c r="G21" i="22"/>
  <c r="F21" i="22"/>
  <c r="E21" i="22"/>
  <c r="D21" i="22"/>
  <c r="C21" i="22"/>
  <c r="B21" i="22"/>
  <c r="A21" i="22"/>
  <c r="L20" i="22"/>
  <c r="K20" i="22"/>
  <c r="H20" i="22"/>
  <c r="G20" i="22"/>
  <c r="F20" i="22"/>
  <c r="E20" i="22"/>
  <c r="D20" i="22"/>
  <c r="C20" i="22"/>
  <c r="B20" i="22"/>
  <c r="A20" i="22"/>
  <c r="L19" i="22"/>
  <c r="K19" i="22"/>
  <c r="H19" i="22"/>
  <c r="G19" i="22"/>
  <c r="F19" i="22"/>
  <c r="E19" i="22"/>
  <c r="D19" i="22"/>
  <c r="C19" i="22"/>
  <c r="B19" i="22"/>
  <c r="A19" i="22"/>
  <c r="L18" i="22"/>
  <c r="K18" i="22"/>
  <c r="H18" i="22"/>
  <c r="G18" i="22"/>
  <c r="F18" i="22"/>
  <c r="E18" i="22"/>
  <c r="D18" i="22"/>
  <c r="C18" i="22"/>
  <c r="B18" i="22"/>
  <c r="A18" i="22"/>
  <c r="L17" i="22"/>
  <c r="K17" i="22"/>
  <c r="H17" i="22"/>
  <c r="G17" i="22"/>
  <c r="F17" i="22"/>
  <c r="E17" i="22"/>
  <c r="D17" i="22"/>
  <c r="C17" i="22"/>
  <c r="B17" i="22"/>
  <c r="A17" i="22"/>
  <c r="L16" i="22"/>
  <c r="K16" i="22"/>
  <c r="H16" i="22"/>
  <c r="G16" i="22"/>
  <c r="F16" i="22"/>
  <c r="E16" i="22"/>
  <c r="D16" i="22"/>
  <c r="C16" i="22"/>
  <c r="B16" i="22"/>
  <c r="A16" i="22"/>
  <c r="L15" i="22"/>
  <c r="K15" i="22"/>
  <c r="H15" i="22"/>
  <c r="G15" i="22"/>
  <c r="F15" i="22"/>
  <c r="E15" i="22"/>
  <c r="D15" i="22"/>
  <c r="C15" i="22"/>
  <c r="B15" i="22"/>
  <c r="A15" i="22"/>
  <c r="L14" i="22"/>
  <c r="K14" i="22"/>
  <c r="H14" i="22"/>
  <c r="G14" i="22"/>
  <c r="F14" i="22"/>
  <c r="E14" i="22"/>
  <c r="D14" i="22"/>
  <c r="C14" i="22"/>
  <c r="B14" i="22"/>
  <c r="A14" i="22"/>
  <c r="L13" i="22"/>
  <c r="K13" i="22"/>
  <c r="H13" i="22"/>
  <c r="G13" i="22"/>
  <c r="F13" i="22"/>
  <c r="E13" i="22"/>
  <c r="D13" i="22"/>
  <c r="C13" i="22"/>
  <c r="B13" i="22"/>
  <c r="A13" i="22"/>
  <c r="L12" i="22"/>
  <c r="K12" i="22"/>
  <c r="H12" i="22"/>
  <c r="G12" i="22"/>
  <c r="F12" i="22"/>
  <c r="E12" i="22"/>
  <c r="D12" i="22"/>
  <c r="C12" i="22"/>
  <c r="B12" i="22"/>
  <c r="A12" i="22"/>
  <c r="L11" i="22"/>
  <c r="K11" i="22"/>
  <c r="H11" i="22"/>
  <c r="G11" i="22"/>
  <c r="F11" i="22"/>
  <c r="E11" i="22"/>
  <c r="D11" i="22"/>
  <c r="C11" i="22"/>
  <c r="B11" i="22"/>
  <c r="A11" i="22"/>
  <c r="L10" i="22"/>
  <c r="K10" i="22"/>
  <c r="H10" i="22"/>
  <c r="G10" i="22"/>
  <c r="F10" i="22"/>
  <c r="E10" i="22"/>
  <c r="D10" i="22"/>
  <c r="C10" i="22"/>
  <c r="B10" i="22"/>
  <c r="A10" i="22"/>
  <c r="L9" i="22"/>
  <c r="K9" i="22"/>
  <c r="H9" i="22"/>
  <c r="G9" i="22"/>
  <c r="F9" i="22"/>
  <c r="E9" i="22"/>
  <c r="D9" i="22"/>
  <c r="C9" i="22"/>
  <c r="B9" i="22"/>
  <c r="A9" i="22"/>
  <c r="L8" i="22"/>
  <c r="K8" i="22"/>
  <c r="H8" i="22"/>
  <c r="G8" i="22"/>
  <c r="F8" i="22"/>
  <c r="E8" i="22"/>
  <c r="D8" i="22"/>
  <c r="C8" i="22"/>
  <c r="B8" i="22"/>
  <c r="A8" i="22"/>
  <c r="K7" i="22"/>
  <c r="H7" i="22"/>
  <c r="G7" i="22"/>
  <c r="F7" i="22"/>
  <c r="E7" i="22"/>
  <c r="D7" i="22"/>
  <c r="C7" i="22"/>
  <c r="B7" i="22"/>
  <c r="A7" i="22"/>
  <c r="J2" i="22"/>
  <c r="D30" i="1" s="1"/>
  <c r="L110" i="21"/>
  <c r="K110" i="21"/>
  <c r="H110" i="21"/>
  <c r="G110" i="21"/>
  <c r="F110" i="21"/>
  <c r="E110" i="21"/>
  <c r="D110" i="21"/>
  <c r="C110" i="21"/>
  <c r="B110" i="21"/>
  <c r="A110" i="21"/>
  <c r="L109" i="21"/>
  <c r="K109" i="21"/>
  <c r="H109" i="21"/>
  <c r="G109" i="21"/>
  <c r="F109" i="21"/>
  <c r="E109" i="21"/>
  <c r="D109" i="21"/>
  <c r="C109" i="21"/>
  <c r="B109" i="21"/>
  <c r="A109" i="21"/>
  <c r="L108" i="21"/>
  <c r="K108" i="21"/>
  <c r="H108" i="21"/>
  <c r="G108" i="21"/>
  <c r="F108" i="21"/>
  <c r="E108" i="21"/>
  <c r="D108" i="21"/>
  <c r="C108" i="21"/>
  <c r="B108" i="21"/>
  <c r="A108" i="21"/>
  <c r="L107" i="21"/>
  <c r="K107" i="21"/>
  <c r="H107" i="21"/>
  <c r="G107" i="21"/>
  <c r="F107" i="21"/>
  <c r="E107" i="21"/>
  <c r="D107" i="21"/>
  <c r="C107" i="21"/>
  <c r="B107" i="21"/>
  <c r="A107" i="21"/>
  <c r="L106" i="21"/>
  <c r="K106" i="21"/>
  <c r="H106" i="21"/>
  <c r="G106" i="21"/>
  <c r="F106" i="21"/>
  <c r="E106" i="21"/>
  <c r="D106" i="21"/>
  <c r="C106" i="21"/>
  <c r="B106" i="21"/>
  <c r="A106" i="21"/>
  <c r="L105" i="21"/>
  <c r="K105" i="21"/>
  <c r="H105" i="21"/>
  <c r="G105" i="21"/>
  <c r="F105" i="21"/>
  <c r="E105" i="21"/>
  <c r="D105" i="21"/>
  <c r="C105" i="21"/>
  <c r="B105" i="21"/>
  <c r="A105" i="21"/>
  <c r="L104" i="21"/>
  <c r="K104" i="21"/>
  <c r="H104" i="21"/>
  <c r="G104" i="21"/>
  <c r="F104" i="21"/>
  <c r="E104" i="21"/>
  <c r="D104" i="21"/>
  <c r="C104" i="21"/>
  <c r="B104" i="21"/>
  <c r="A104" i="21"/>
  <c r="L103" i="21"/>
  <c r="K103" i="21"/>
  <c r="H103" i="21"/>
  <c r="G103" i="21"/>
  <c r="F103" i="21"/>
  <c r="E103" i="21"/>
  <c r="D103" i="21"/>
  <c r="C103" i="21"/>
  <c r="B103" i="21"/>
  <c r="A103" i="21"/>
  <c r="L102" i="21"/>
  <c r="K102" i="21"/>
  <c r="H102" i="21"/>
  <c r="G102" i="21"/>
  <c r="F102" i="21"/>
  <c r="E102" i="21"/>
  <c r="D102" i="21"/>
  <c r="C102" i="21"/>
  <c r="B102" i="21"/>
  <c r="A102" i="21"/>
  <c r="L101" i="21"/>
  <c r="K101" i="21"/>
  <c r="H101" i="21"/>
  <c r="G101" i="21"/>
  <c r="F101" i="21"/>
  <c r="E101" i="21"/>
  <c r="D101" i="21"/>
  <c r="C101" i="21"/>
  <c r="B101" i="21"/>
  <c r="A101" i="21"/>
  <c r="L100" i="21"/>
  <c r="K100" i="21"/>
  <c r="H100" i="21"/>
  <c r="G100" i="21"/>
  <c r="F100" i="21"/>
  <c r="E100" i="21"/>
  <c r="D100" i="21"/>
  <c r="C100" i="21"/>
  <c r="B100" i="21"/>
  <c r="A100" i="21"/>
  <c r="L99" i="21"/>
  <c r="K99" i="21"/>
  <c r="H99" i="21"/>
  <c r="G99" i="21"/>
  <c r="F99" i="21"/>
  <c r="E99" i="21"/>
  <c r="D99" i="21"/>
  <c r="C99" i="21"/>
  <c r="B99" i="21"/>
  <c r="A99" i="21"/>
  <c r="L98" i="21"/>
  <c r="K98" i="21"/>
  <c r="H98" i="21"/>
  <c r="G98" i="21"/>
  <c r="F98" i="21"/>
  <c r="E98" i="21"/>
  <c r="D98" i="21"/>
  <c r="C98" i="21"/>
  <c r="B98" i="21"/>
  <c r="A98" i="21"/>
  <c r="L97" i="21"/>
  <c r="K97" i="21"/>
  <c r="H97" i="21"/>
  <c r="G97" i="21"/>
  <c r="F97" i="21"/>
  <c r="E97" i="21"/>
  <c r="D97" i="21"/>
  <c r="C97" i="21"/>
  <c r="B97" i="21"/>
  <c r="A97" i="21"/>
  <c r="L96" i="21"/>
  <c r="K96" i="21"/>
  <c r="H96" i="21"/>
  <c r="G96" i="21"/>
  <c r="F96" i="21"/>
  <c r="E96" i="21"/>
  <c r="D96" i="21"/>
  <c r="C96" i="21"/>
  <c r="B96" i="21"/>
  <c r="A96" i="21"/>
  <c r="L95" i="21"/>
  <c r="K95" i="21"/>
  <c r="H95" i="21"/>
  <c r="G95" i="21"/>
  <c r="F95" i="21"/>
  <c r="E95" i="21"/>
  <c r="D95" i="21"/>
  <c r="C95" i="21"/>
  <c r="B95" i="21"/>
  <c r="A95" i="21"/>
  <c r="L94" i="21"/>
  <c r="K94" i="21"/>
  <c r="H94" i="21"/>
  <c r="G94" i="21"/>
  <c r="F94" i="21"/>
  <c r="E94" i="21"/>
  <c r="D94" i="21"/>
  <c r="C94" i="21"/>
  <c r="B94" i="21"/>
  <c r="A94" i="21"/>
  <c r="L93" i="21"/>
  <c r="K93" i="21"/>
  <c r="H93" i="21"/>
  <c r="G93" i="21"/>
  <c r="F93" i="21"/>
  <c r="E93" i="21"/>
  <c r="D93" i="21"/>
  <c r="C93" i="21"/>
  <c r="B93" i="21"/>
  <c r="A93" i="21"/>
  <c r="L92" i="21"/>
  <c r="K92" i="21"/>
  <c r="H92" i="21"/>
  <c r="G92" i="21"/>
  <c r="F92" i="21"/>
  <c r="E92" i="21"/>
  <c r="D92" i="21"/>
  <c r="C92" i="21"/>
  <c r="B92" i="21"/>
  <c r="A92" i="21"/>
  <c r="L91" i="21"/>
  <c r="K91" i="21"/>
  <c r="H91" i="21"/>
  <c r="G91" i="21"/>
  <c r="F91" i="21"/>
  <c r="E91" i="21"/>
  <c r="D91" i="21"/>
  <c r="C91" i="21"/>
  <c r="B91" i="21"/>
  <c r="A91" i="21"/>
  <c r="L90" i="21"/>
  <c r="K90" i="21"/>
  <c r="H90" i="21"/>
  <c r="G90" i="21"/>
  <c r="F90" i="21"/>
  <c r="E90" i="21"/>
  <c r="D90" i="21"/>
  <c r="C90" i="21"/>
  <c r="B90" i="21"/>
  <c r="A90" i="21"/>
  <c r="L89" i="21"/>
  <c r="K89" i="21"/>
  <c r="H89" i="21"/>
  <c r="G89" i="21"/>
  <c r="F89" i="21"/>
  <c r="E89" i="21"/>
  <c r="D89" i="21"/>
  <c r="C89" i="21"/>
  <c r="B89" i="21"/>
  <c r="A89" i="21"/>
  <c r="L88" i="21"/>
  <c r="K88" i="21"/>
  <c r="H88" i="21"/>
  <c r="G88" i="21"/>
  <c r="F88" i="21"/>
  <c r="E88" i="21"/>
  <c r="D88" i="21"/>
  <c r="C88" i="21"/>
  <c r="B88" i="21"/>
  <c r="A88" i="21"/>
  <c r="L87" i="21"/>
  <c r="K87" i="21"/>
  <c r="H87" i="21"/>
  <c r="G87" i="21"/>
  <c r="F87" i="21"/>
  <c r="E87" i="21"/>
  <c r="D87" i="21"/>
  <c r="C87" i="21"/>
  <c r="B87" i="21"/>
  <c r="A87" i="21"/>
  <c r="L86" i="21"/>
  <c r="K86" i="21"/>
  <c r="H86" i="21"/>
  <c r="G86" i="21"/>
  <c r="F86" i="21"/>
  <c r="E86" i="21"/>
  <c r="D86" i="21"/>
  <c r="C86" i="21"/>
  <c r="B86" i="21"/>
  <c r="A86" i="21"/>
  <c r="L85" i="21"/>
  <c r="K85" i="21"/>
  <c r="H85" i="21"/>
  <c r="G85" i="21"/>
  <c r="F85" i="21"/>
  <c r="E85" i="21"/>
  <c r="D85" i="21"/>
  <c r="C85" i="21"/>
  <c r="B85" i="21"/>
  <c r="A85" i="21"/>
  <c r="L84" i="21"/>
  <c r="K84" i="21"/>
  <c r="H84" i="21"/>
  <c r="G84" i="21"/>
  <c r="F84" i="21"/>
  <c r="E84" i="21"/>
  <c r="D84" i="21"/>
  <c r="C84" i="21"/>
  <c r="B84" i="21"/>
  <c r="A84" i="21"/>
  <c r="L83" i="21"/>
  <c r="K83" i="21"/>
  <c r="H83" i="21"/>
  <c r="G83" i="21"/>
  <c r="F83" i="21"/>
  <c r="E83" i="21"/>
  <c r="D83" i="21"/>
  <c r="C83" i="21"/>
  <c r="B83" i="21"/>
  <c r="A83" i="21"/>
  <c r="L82" i="21"/>
  <c r="K82" i="21"/>
  <c r="H82" i="21"/>
  <c r="G82" i="21"/>
  <c r="F82" i="21"/>
  <c r="E82" i="21"/>
  <c r="D82" i="21"/>
  <c r="C82" i="21"/>
  <c r="B82" i="21"/>
  <c r="A82" i="21"/>
  <c r="L81" i="21"/>
  <c r="K81" i="21"/>
  <c r="H81" i="21"/>
  <c r="G81" i="21"/>
  <c r="F81" i="21"/>
  <c r="E81" i="21"/>
  <c r="D81" i="21"/>
  <c r="C81" i="21"/>
  <c r="B81" i="21"/>
  <c r="A81" i="21"/>
  <c r="L80" i="21"/>
  <c r="K80" i="21"/>
  <c r="H80" i="21"/>
  <c r="G80" i="21"/>
  <c r="F80" i="21"/>
  <c r="E80" i="21"/>
  <c r="D80" i="21"/>
  <c r="C80" i="21"/>
  <c r="B80" i="21"/>
  <c r="A80" i="21"/>
  <c r="L79" i="21"/>
  <c r="K79" i="21"/>
  <c r="H79" i="21"/>
  <c r="G79" i="21"/>
  <c r="F79" i="21"/>
  <c r="E79" i="21"/>
  <c r="D79" i="21"/>
  <c r="C79" i="21"/>
  <c r="B79" i="21"/>
  <c r="A79" i="21"/>
  <c r="L78" i="21"/>
  <c r="K78" i="21"/>
  <c r="H78" i="21"/>
  <c r="G78" i="21"/>
  <c r="F78" i="21"/>
  <c r="E78" i="21"/>
  <c r="D78" i="21"/>
  <c r="C78" i="21"/>
  <c r="B78" i="21"/>
  <c r="A78" i="21"/>
  <c r="L77" i="21"/>
  <c r="K77" i="21"/>
  <c r="H77" i="21"/>
  <c r="G77" i="21"/>
  <c r="F77" i="21"/>
  <c r="E77" i="21"/>
  <c r="D77" i="21"/>
  <c r="C77" i="21"/>
  <c r="B77" i="21"/>
  <c r="A77" i="21"/>
  <c r="L76" i="21"/>
  <c r="K76" i="21"/>
  <c r="H76" i="21"/>
  <c r="G76" i="21"/>
  <c r="F76" i="21"/>
  <c r="E76" i="21"/>
  <c r="D76" i="21"/>
  <c r="C76" i="21"/>
  <c r="B76" i="21"/>
  <c r="A76" i="21"/>
  <c r="L75" i="21"/>
  <c r="K75" i="21"/>
  <c r="H75" i="21"/>
  <c r="G75" i="21"/>
  <c r="F75" i="21"/>
  <c r="E75" i="21"/>
  <c r="D75" i="21"/>
  <c r="C75" i="21"/>
  <c r="B75" i="21"/>
  <c r="A75" i="21"/>
  <c r="L74" i="21"/>
  <c r="K74" i="21"/>
  <c r="H74" i="21"/>
  <c r="G74" i="21"/>
  <c r="F74" i="21"/>
  <c r="E74" i="21"/>
  <c r="D74" i="21"/>
  <c r="C74" i="21"/>
  <c r="B74" i="21"/>
  <c r="A74" i="21"/>
  <c r="L73" i="21"/>
  <c r="K73" i="21"/>
  <c r="H73" i="21"/>
  <c r="G73" i="21"/>
  <c r="F73" i="21"/>
  <c r="E73" i="21"/>
  <c r="D73" i="21"/>
  <c r="C73" i="21"/>
  <c r="B73" i="21"/>
  <c r="A73" i="21"/>
  <c r="L72" i="21"/>
  <c r="K72" i="21"/>
  <c r="H72" i="21"/>
  <c r="G72" i="21"/>
  <c r="F72" i="21"/>
  <c r="E72" i="21"/>
  <c r="D72" i="21"/>
  <c r="C72" i="21"/>
  <c r="B72" i="21"/>
  <c r="A72" i="21"/>
  <c r="L71" i="21"/>
  <c r="K71" i="21"/>
  <c r="H71" i="21"/>
  <c r="G71" i="21"/>
  <c r="F71" i="21"/>
  <c r="E71" i="21"/>
  <c r="D71" i="21"/>
  <c r="C71" i="21"/>
  <c r="B71" i="21"/>
  <c r="A71" i="21"/>
  <c r="L70" i="21"/>
  <c r="K70" i="21"/>
  <c r="H70" i="21"/>
  <c r="G70" i="21"/>
  <c r="F70" i="21"/>
  <c r="E70" i="21"/>
  <c r="D70" i="21"/>
  <c r="C70" i="21"/>
  <c r="B70" i="21"/>
  <c r="A70" i="21"/>
  <c r="L69" i="21"/>
  <c r="K69" i="21"/>
  <c r="H69" i="21"/>
  <c r="G69" i="21"/>
  <c r="F69" i="21"/>
  <c r="E69" i="21"/>
  <c r="D69" i="21"/>
  <c r="C69" i="21"/>
  <c r="B69" i="21"/>
  <c r="A69" i="21"/>
  <c r="L68" i="21"/>
  <c r="K68" i="21"/>
  <c r="H68" i="21"/>
  <c r="G68" i="21"/>
  <c r="F68" i="21"/>
  <c r="E68" i="21"/>
  <c r="D68" i="21"/>
  <c r="C68" i="21"/>
  <c r="B68" i="21"/>
  <c r="A68" i="21"/>
  <c r="L67" i="21"/>
  <c r="K67" i="21"/>
  <c r="H67" i="21"/>
  <c r="G67" i="21"/>
  <c r="F67" i="21"/>
  <c r="E67" i="21"/>
  <c r="D67" i="21"/>
  <c r="C67" i="21"/>
  <c r="B67" i="21"/>
  <c r="A67" i="21"/>
  <c r="L66" i="21"/>
  <c r="K66" i="21"/>
  <c r="H66" i="21"/>
  <c r="G66" i="21"/>
  <c r="F66" i="21"/>
  <c r="E66" i="21"/>
  <c r="D66" i="21"/>
  <c r="C66" i="21"/>
  <c r="B66" i="21"/>
  <c r="A66" i="21"/>
  <c r="L65" i="21"/>
  <c r="K65" i="21"/>
  <c r="H65" i="21"/>
  <c r="G65" i="21"/>
  <c r="F65" i="21"/>
  <c r="E65" i="21"/>
  <c r="D65" i="21"/>
  <c r="C65" i="21"/>
  <c r="B65" i="21"/>
  <c r="A65" i="21"/>
  <c r="L64" i="21"/>
  <c r="K64" i="21"/>
  <c r="H64" i="21"/>
  <c r="G64" i="21"/>
  <c r="F64" i="21"/>
  <c r="E64" i="21"/>
  <c r="D64" i="21"/>
  <c r="C64" i="21"/>
  <c r="B64" i="21"/>
  <c r="A64" i="21"/>
  <c r="L63" i="21"/>
  <c r="K63" i="21"/>
  <c r="H63" i="21"/>
  <c r="G63" i="21"/>
  <c r="F63" i="21"/>
  <c r="E63" i="21"/>
  <c r="D63" i="21"/>
  <c r="C63" i="21"/>
  <c r="B63" i="21"/>
  <c r="A63" i="21"/>
  <c r="L62" i="21"/>
  <c r="K62" i="21"/>
  <c r="H62" i="21"/>
  <c r="G62" i="21"/>
  <c r="F62" i="21"/>
  <c r="E62" i="21"/>
  <c r="D62" i="21"/>
  <c r="C62" i="21"/>
  <c r="B62" i="21"/>
  <c r="A62" i="21"/>
  <c r="L61" i="21"/>
  <c r="K61" i="21"/>
  <c r="H61" i="21"/>
  <c r="G61" i="21"/>
  <c r="F61" i="21"/>
  <c r="E61" i="21"/>
  <c r="D61" i="21"/>
  <c r="C61" i="21"/>
  <c r="B61" i="21"/>
  <c r="A61" i="21"/>
  <c r="L60" i="21"/>
  <c r="K60" i="21"/>
  <c r="H60" i="21"/>
  <c r="G60" i="21"/>
  <c r="F60" i="21"/>
  <c r="E60" i="21"/>
  <c r="D60" i="21"/>
  <c r="C60" i="21"/>
  <c r="B60" i="21"/>
  <c r="A60" i="21"/>
  <c r="L59" i="21"/>
  <c r="K59" i="21"/>
  <c r="H59" i="21"/>
  <c r="G59" i="21"/>
  <c r="F59" i="21"/>
  <c r="E59" i="21"/>
  <c r="D59" i="21"/>
  <c r="C59" i="21"/>
  <c r="B59" i="21"/>
  <c r="A59" i="21"/>
  <c r="L58" i="21"/>
  <c r="K58" i="21"/>
  <c r="H58" i="21"/>
  <c r="G58" i="21"/>
  <c r="F58" i="21"/>
  <c r="E58" i="21"/>
  <c r="D58" i="21"/>
  <c r="C58" i="21"/>
  <c r="B58" i="21"/>
  <c r="A58" i="21"/>
  <c r="L57" i="21"/>
  <c r="K57" i="21"/>
  <c r="H57" i="21"/>
  <c r="G57" i="21"/>
  <c r="F57" i="21"/>
  <c r="E57" i="21"/>
  <c r="D57" i="21"/>
  <c r="C57" i="21"/>
  <c r="B57" i="21"/>
  <c r="A57" i="21"/>
  <c r="L56" i="21"/>
  <c r="K56" i="21"/>
  <c r="H56" i="21"/>
  <c r="G56" i="21"/>
  <c r="F56" i="21"/>
  <c r="E56" i="21"/>
  <c r="D56" i="21"/>
  <c r="C56" i="21"/>
  <c r="B56" i="21"/>
  <c r="A56" i="21"/>
  <c r="L55" i="21"/>
  <c r="K55" i="21"/>
  <c r="H55" i="21"/>
  <c r="G55" i="21"/>
  <c r="F55" i="21"/>
  <c r="E55" i="21"/>
  <c r="D55" i="21"/>
  <c r="C55" i="21"/>
  <c r="B55" i="21"/>
  <c r="A55" i="21"/>
  <c r="L54" i="21"/>
  <c r="K54" i="21"/>
  <c r="H54" i="21"/>
  <c r="G54" i="21"/>
  <c r="F54" i="21"/>
  <c r="E54" i="21"/>
  <c r="D54" i="21"/>
  <c r="C54" i="21"/>
  <c r="B54" i="21"/>
  <c r="A54" i="21"/>
  <c r="L53" i="21"/>
  <c r="K53" i="21"/>
  <c r="H53" i="21"/>
  <c r="G53" i="21"/>
  <c r="F53" i="21"/>
  <c r="E53" i="21"/>
  <c r="D53" i="21"/>
  <c r="C53" i="21"/>
  <c r="B53" i="21"/>
  <c r="A53" i="21"/>
  <c r="L52" i="21"/>
  <c r="K52" i="21"/>
  <c r="H52" i="21"/>
  <c r="G52" i="21"/>
  <c r="F52" i="21"/>
  <c r="E52" i="21"/>
  <c r="D52" i="21"/>
  <c r="C52" i="21"/>
  <c r="B52" i="21"/>
  <c r="A52" i="21"/>
  <c r="L51" i="21"/>
  <c r="K51" i="21"/>
  <c r="H51" i="21"/>
  <c r="G51" i="21"/>
  <c r="F51" i="21"/>
  <c r="E51" i="21"/>
  <c r="D51" i="21"/>
  <c r="C51" i="21"/>
  <c r="B51" i="21"/>
  <c r="A51" i="21"/>
  <c r="L50" i="21"/>
  <c r="K50" i="21"/>
  <c r="H50" i="21"/>
  <c r="G50" i="21"/>
  <c r="F50" i="21"/>
  <c r="E50" i="21"/>
  <c r="D50" i="21"/>
  <c r="C50" i="21"/>
  <c r="B50" i="21"/>
  <c r="A50" i="21"/>
  <c r="L49" i="21"/>
  <c r="K49" i="21"/>
  <c r="H49" i="21"/>
  <c r="G49" i="21"/>
  <c r="F49" i="21"/>
  <c r="E49" i="21"/>
  <c r="D49" i="21"/>
  <c r="C49" i="21"/>
  <c r="B49" i="21"/>
  <c r="A49" i="21"/>
  <c r="L48" i="21"/>
  <c r="K48" i="21"/>
  <c r="H48" i="21"/>
  <c r="G48" i="21"/>
  <c r="F48" i="21"/>
  <c r="E48" i="21"/>
  <c r="D48" i="21"/>
  <c r="C48" i="21"/>
  <c r="B48" i="21"/>
  <c r="A48" i="21"/>
  <c r="L47" i="21"/>
  <c r="K47" i="21"/>
  <c r="H47" i="21"/>
  <c r="G47" i="21"/>
  <c r="F47" i="21"/>
  <c r="E47" i="21"/>
  <c r="D47" i="21"/>
  <c r="C47" i="21"/>
  <c r="B47" i="21"/>
  <c r="A47" i="21"/>
  <c r="L46" i="21"/>
  <c r="K46" i="21"/>
  <c r="H46" i="21"/>
  <c r="G46" i="21"/>
  <c r="F46" i="21"/>
  <c r="E46" i="21"/>
  <c r="D46" i="21"/>
  <c r="C46" i="21"/>
  <c r="B46" i="21"/>
  <c r="A46" i="21"/>
  <c r="L45" i="21"/>
  <c r="K45" i="21"/>
  <c r="H45" i="21"/>
  <c r="G45" i="21"/>
  <c r="F45" i="21"/>
  <c r="E45" i="21"/>
  <c r="D45" i="21"/>
  <c r="C45" i="21"/>
  <c r="B45" i="21"/>
  <c r="A45" i="21"/>
  <c r="L44" i="21"/>
  <c r="K44" i="21"/>
  <c r="H44" i="21"/>
  <c r="G44" i="21"/>
  <c r="F44" i="21"/>
  <c r="E44" i="21"/>
  <c r="D44" i="21"/>
  <c r="C44" i="21"/>
  <c r="B44" i="21"/>
  <c r="A44" i="21"/>
  <c r="L43" i="21"/>
  <c r="K43" i="21"/>
  <c r="H43" i="21"/>
  <c r="G43" i="21"/>
  <c r="F43" i="21"/>
  <c r="E43" i="21"/>
  <c r="D43" i="21"/>
  <c r="C43" i="21"/>
  <c r="B43" i="21"/>
  <c r="A43" i="21"/>
  <c r="L42" i="21"/>
  <c r="K42" i="21"/>
  <c r="H42" i="21"/>
  <c r="G42" i="21"/>
  <c r="F42" i="21"/>
  <c r="E42" i="21"/>
  <c r="D42" i="21"/>
  <c r="C42" i="21"/>
  <c r="B42" i="21"/>
  <c r="A42" i="21"/>
  <c r="L41" i="21"/>
  <c r="K41" i="21"/>
  <c r="H41" i="21"/>
  <c r="G41" i="21"/>
  <c r="F41" i="21"/>
  <c r="E41" i="21"/>
  <c r="D41" i="21"/>
  <c r="C41" i="21"/>
  <c r="B41" i="21"/>
  <c r="A41" i="21"/>
  <c r="L40" i="21"/>
  <c r="K40" i="21"/>
  <c r="H40" i="21"/>
  <c r="G40" i="21"/>
  <c r="F40" i="21"/>
  <c r="E40" i="21"/>
  <c r="D40" i="21"/>
  <c r="C40" i="21"/>
  <c r="B40" i="21"/>
  <c r="A40" i="21"/>
  <c r="L39" i="21"/>
  <c r="K39" i="21"/>
  <c r="H39" i="21"/>
  <c r="G39" i="21"/>
  <c r="F39" i="21"/>
  <c r="E39" i="21"/>
  <c r="D39" i="21"/>
  <c r="C39" i="21"/>
  <c r="B39" i="21"/>
  <c r="A39" i="21"/>
  <c r="L38" i="21"/>
  <c r="K38" i="21"/>
  <c r="H38" i="21"/>
  <c r="G38" i="21"/>
  <c r="F38" i="21"/>
  <c r="E38" i="21"/>
  <c r="D38" i="21"/>
  <c r="C38" i="21"/>
  <c r="B38" i="21"/>
  <c r="A38" i="21"/>
  <c r="L37" i="21"/>
  <c r="K37" i="21"/>
  <c r="H37" i="21"/>
  <c r="G37" i="21"/>
  <c r="F37" i="21"/>
  <c r="E37" i="21"/>
  <c r="D37" i="21"/>
  <c r="C37" i="21"/>
  <c r="B37" i="21"/>
  <c r="A37" i="21"/>
  <c r="L36" i="21"/>
  <c r="K36" i="21"/>
  <c r="H36" i="21"/>
  <c r="G36" i="21"/>
  <c r="F36" i="21"/>
  <c r="E36" i="21"/>
  <c r="D36" i="21"/>
  <c r="C36" i="21"/>
  <c r="B36" i="21"/>
  <c r="A36" i="21"/>
  <c r="L35" i="21"/>
  <c r="K35" i="21"/>
  <c r="H35" i="21"/>
  <c r="G35" i="21"/>
  <c r="F35" i="21"/>
  <c r="E35" i="21"/>
  <c r="D35" i="21"/>
  <c r="C35" i="21"/>
  <c r="B35" i="21"/>
  <c r="A35" i="21"/>
  <c r="L34" i="21"/>
  <c r="K34" i="21"/>
  <c r="H34" i="21"/>
  <c r="G34" i="21"/>
  <c r="F34" i="21"/>
  <c r="E34" i="21"/>
  <c r="D34" i="21"/>
  <c r="C34" i="21"/>
  <c r="B34" i="21"/>
  <c r="A34" i="21"/>
  <c r="L33" i="21"/>
  <c r="K33" i="21"/>
  <c r="H33" i="21"/>
  <c r="G33" i="21"/>
  <c r="F33" i="21"/>
  <c r="E33" i="21"/>
  <c r="D33" i="21"/>
  <c r="C33" i="21"/>
  <c r="B33" i="21"/>
  <c r="A33" i="21"/>
  <c r="L32" i="21"/>
  <c r="K32" i="21"/>
  <c r="H32" i="21"/>
  <c r="G32" i="21"/>
  <c r="F32" i="21"/>
  <c r="E32" i="21"/>
  <c r="D32" i="21"/>
  <c r="C32" i="21"/>
  <c r="B32" i="21"/>
  <c r="A32" i="21"/>
  <c r="L31" i="21"/>
  <c r="K31" i="21"/>
  <c r="H31" i="21"/>
  <c r="G31" i="21"/>
  <c r="F31" i="21"/>
  <c r="E31" i="21"/>
  <c r="D31" i="21"/>
  <c r="C31" i="21"/>
  <c r="B31" i="21"/>
  <c r="A31" i="21"/>
  <c r="L30" i="21"/>
  <c r="K30" i="21"/>
  <c r="H30" i="21"/>
  <c r="G30" i="21"/>
  <c r="F30" i="21"/>
  <c r="E30" i="21"/>
  <c r="D30" i="21"/>
  <c r="C30" i="21"/>
  <c r="B30" i="21"/>
  <c r="A30" i="21"/>
  <c r="L29" i="21"/>
  <c r="K29" i="21"/>
  <c r="H29" i="21"/>
  <c r="G29" i="21"/>
  <c r="F29" i="21"/>
  <c r="E29" i="21"/>
  <c r="D29" i="21"/>
  <c r="C29" i="21"/>
  <c r="B29" i="21"/>
  <c r="A29" i="21"/>
  <c r="L28" i="21"/>
  <c r="K28" i="21"/>
  <c r="H28" i="21"/>
  <c r="G28" i="21"/>
  <c r="F28" i="21"/>
  <c r="E28" i="21"/>
  <c r="D28" i="21"/>
  <c r="C28" i="21"/>
  <c r="B28" i="21"/>
  <c r="A28" i="21"/>
  <c r="L27" i="21"/>
  <c r="K27" i="21"/>
  <c r="H27" i="21"/>
  <c r="G27" i="21"/>
  <c r="F27" i="21"/>
  <c r="E27" i="21"/>
  <c r="D27" i="21"/>
  <c r="C27" i="21"/>
  <c r="B27" i="21"/>
  <c r="A27" i="21"/>
  <c r="L26" i="21"/>
  <c r="K26" i="21"/>
  <c r="H26" i="21"/>
  <c r="G26" i="21"/>
  <c r="F26" i="21"/>
  <c r="E26" i="21"/>
  <c r="D26" i="21"/>
  <c r="C26" i="21"/>
  <c r="B26" i="21"/>
  <c r="A26" i="21"/>
  <c r="L25" i="21"/>
  <c r="K25" i="21"/>
  <c r="H25" i="21"/>
  <c r="G25" i="21"/>
  <c r="F25" i="21"/>
  <c r="E25" i="21"/>
  <c r="D25" i="21"/>
  <c r="C25" i="21"/>
  <c r="B25" i="21"/>
  <c r="A25" i="21"/>
  <c r="L24" i="21"/>
  <c r="K24" i="21"/>
  <c r="H24" i="21"/>
  <c r="G24" i="21"/>
  <c r="F24" i="21"/>
  <c r="E24" i="21"/>
  <c r="D24" i="21"/>
  <c r="C24" i="21"/>
  <c r="B24" i="21"/>
  <c r="A24" i="21"/>
  <c r="L23" i="21"/>
  <c r="K23" i="21"/>
  <c r="H23" i="21"/>
  <c r="G23" i="21"/>
  <c r="F23" i="21"/>
  <c r="E23" i="21"/>
  <c r="D23" i="21"/>
  <c r="C23" i="21"/>
  <c r="B23" i="21"/>
  <c r="A23" i="21"/>
  <c r="L22" i="21"/>
  <c r="K22" i="21"/>
  <c r="H22" i="21"/>
  <c r="G22" i="21"/>
  <c r="F22" i="21"/>
  <c r="E22" i="21"/>
  <c r="D22" i="21"/>
  <c r="C22" i="21"/>
  <c r="B22" i="21"/>
  <c r="A22" i="21"/>
  <c r="L21" i="21"/>
  <c r="K21" i="21"/>
  <c r="H21" i="21"/>
  <c r="G21" i="21"/>
  <c r="F21" i="21"/>
  <c r="E21" i="21"/>
  <c r="D21" i="21"/>
  <c r="C21" i="21"/>
  <c r="B21" i="21"/>
  <c r="A21" i="21"/>
  <c r="L20" i="21"/>
  <c r="K20" i="21"/>
  <c r="H20" i="21"/>
  <c r="G20" i="21"/>
  <c r="F20" i="21"/>
  <c r="E20" i="21"/>
  <c r="D20" i="21"/>
  <c r="C20" i="21"/>
  <c r="B20" i="21"/>
  <c r="A20" i="21"/>
  <c r="L19" i="21"/>
  <c r="K19" i="21"/>
  <c r="H19" i="21"/>
  <c r="G19" i="21"/>
  <c r="F19" i="21"/>
  <c r="E19" i="21"/>
  <c r="D19" i="21"/>
  <c r="C19" i="21"/>
  <c r="B19" i="21"/>
  <c r="A19" i="21"/>
  <c r="L18" i="21"/>
  <c r="K18" i="21"/>
  <c r="H18" i="21"/>
  <c r="G18" i="21"/>
  <c r="F18" i="21"/>
  <c r="E18" i="21"/>
  <c r="D18" i="21"/>
  <c r="C18" i="21"/>
  <c r="B18" i="21"/>
  <c r="A18" i="21"/>
  <c r="L17" i="21"/>
  <c r="K17" i="21"/>
  <c r="H17" i="21"/>
  <c r="G17" i="21"/>
  <c r="F17" i="21"/>
  <c r="E17" i="21"/>
  <c r="D17" i="21"/>
  <c r="C17" i="21"/>
  <c r="B17" i="21"/>
  <c r="A17" i="21"/>
  <c r="L16" i="21"/>
  <c r="K16" i="21"/>
  <c r="H16" i="21"/>
  <c r="G16" i="21"/>
  <c r="F16" i="21"/>
  <c r="E16" i="21"/>
  <c r="D16" i="21"/>
  <c r="C16" i="21"/>
  <c r="B16" i="21"/>
  <c r="A16" i="21"/>
  <c r="L15" i="21"/>
  <c r="K15" i="21"/>
  <c r="H15" i="21"/>
  <c r="G15" i="21"/>
  <c r="F15" i="21"/>
  <c r="E15" i="21"/>
  <c r="D15" i="21"/>
  <c r="C15" i="21"/>
  <c r="B15" i="21"/>
  <c r="A15" i="21"/>
  <c r="L14" i="21"/>
  <c r="K14" i="21"/>
  <c r="H14" i="21"/>
  <c r="G14" i="21"/>
  <c r="F14" i="21"/>
  <c r="E14" i="21"/>
  <c r="D14" i="21"/>
  <c r="C14" i="21"/>
  <c r="B14" i="21"/>
  <c r="A14" i="21"/>
  <c r="L13" i="21"/>
  <c r="K13" i="21"/>
  <c r="H13" i="21"/>
  <c r="G13" i="21"/>
  <c r="F13" i="21"/>
  <c r="E13" i="21"/>
  <c r="D13" i="21"/>
  <c r="C13" i="21"/>
  <c r="B13" i="21"/>
  <c r="A13" i="21"/>
  <c r="L12" i="21"/>
  <c r="K12" i="21"/>
  <c r="H12" i="21"/>
  <c r="G12" i="21"/>
  <c r="F12" i="21"/>
  <c r="E12" i="21"/>
  <c r="D12" i="21"/>
  <c r="C12" i="21"/>
  <c r="B12" i="21"/>
  <c r="A12" i="21"/>
  <c r="L11" i="21"/>
  <c r="K11" i="21"/>
  <c r="H11" i="21"/>
  <c r="G11" i="21"/>
  <c r="F11" i="21"/>
  <c r="E11" i="21"/>
  <c r="D11" i="21"/>
  <c r="C11" i="21"/>
  <c r="B11" i="21"/>
  <c r="A11" i="21"/>
  <c r="L10" i="21"/>
  <c r="K10" i="21"/>
  <c r="H10" i="21"/>
  <c r="G10" i="21"/>
  <c r="F10" i="21"/>
  <c r="E10" i="21"/>
  <c r="D10" i="21"/>
  <c r="C10" i="21"/>
  <c r="B10" i="21"/>
  <c r="A10" i="21"/>
  <c r="L9" i="21"/>
  <c r="K9" i="21"/>
  <c r="H9" i="21"/>
  <c r="G9" i="21"/>
  <c r="F9" i="21"/>
  <c r="E9" i="21"/>
  <c r="D9" i="21"/>
  <c r="C9" i="21"/>
  <c r="B9" i="21"/>
  <c r="A9" i="21"/>
  <c r="L8" i="21"/>
  <c r="K8" i="21"/>
  <c r="H8" i="21"/>
  <c r="G8" i="21"/>
  <c r="F8" i="21"/>
  <c r="E8" i="21"/>
  <c r="D8" i="21"/>
  <c r="C8" i="21"/>
  <c r="B8" i="21"/>
  <c r="A8" i="21"/>
  <c r="K7" i="21"/>
  <c r="H7" i="21"/>
  <c r="G7" i="21"/>
  <c r="F7" i="21"/>
  <c r="E7" i="21"/>
  <c r="D7" i="21"/>
  <c r="C7" i="21"/>
  <c r="B7" i="21"/>
  <c r="A7" i="21"/>
  <c r="J2" i="21"/>
  <c r="D29" i="1" s="1"/>
  <c r="L110" i="20"/>
  <c r="K110" i="20"/>
  <c r="H110" i="20"/>
  <c r="G110" i="20"/>
  <c r="F110" i="20"/>
  <c r="E110" i="20"/>
  <c r="D110" i="20"/>
  <c r="C110" i="20"/>
  <c r="B110" i="20"/>
  <c r="A110" i="20"/>
  <c r="L109" i="20"/>
  <c r="K109" i="20"/>
  <c r="H109" i="20"/>
  <c r="G109" i="20"/>
  <c r="F109" i="20"/>
  <c r="E109" i="20"/>
  <c r="D109" i="20"/>
  <c r="C109" i="20"/>
  <c r="B109" i="20"/>
  <c r="A109" i="20"/>
  <c r="L108" i="20"/>
  <c r="K108" i="20"/>
  <c r="H108" i="20"/>
  <c r="G108" i="20"/>
  <c r="F108" i="20"/>
  <c r="E108" i="20"/>
  <c r="D108" i="20"/>
  <c r="C108" i="20"/>
  <c r="B108" i="20"/>
  <c r="A108" i="20"/>
  <c r="L107" i="20"/>
  <c r="K107" i="20"/>
  <c r="H107" i="20"/>
  <c r="G107" i="20"/>
  <c r="F107" i="20"/>
  <c r="E107" i="20"/>
  <c r="D107" i="20"/>
  <c r="C107" i="20"/>
  <c r="B107" i="20"/>
  <c r="A107" i="20"/>
  <c r="L106" i="20"/>
  <c r="K106" i="20"/>
  <c r="H106" i="20"/>
  <c r="G106" i="20"/>
  <c r="F106" i="20"/>
  <c r="E106" i="20"/>
  <c r="D106" i="20"/>
  <c r="C106" i="20"/>
  <c r="B106" i="20"/>
  <c r="A106" i="20"/>
  <c r="L105" i="20"/>
  <c r="K105" i="20"/>
  <c r="H105" i="20"/>
  <c r="G105" i="20"/>
  <c r="F105" i="20"/>
  <c r="E105" i="20"/>
  <c r="D105" i="20"/>
  <c r="C105" i="20"/>
  <c r="B105" i="20"/>
  <c r="A105" i="20"/>
  <c r="L104" i="20"/>
  <c r="K104" i="20"/>
  <c r="H104" i="20"/>
  <c r="G104" i="20"/>
  <c r="F104" i="20"/>
  <c r="E104" i="20"/>
  <c r="D104" i="20"/>
  <c r="C104" i="20"/>
  <c r="B104" i="20"/>
  <c r="A104" i="20"/>
  <c r="L103" i="20"/>
  <c r="K103" i="20"/>
  <c r="H103" i="20"/>
  <c r="G103" i="20"/>
  <c r="F103" i="20"/>
  <c r="E103" i="20"/>
  <c r="D103" i="20"/>
  <c r="C103" i="20"/>
  <c r="B103" i="20"/>
  <c r="A103" i="20"/>
  <c r="L102" i="20"/>
  <c r="K102" i="20"/>
  <c r="H102" i="20"/>
  <c r="G102" i="20"/>
  <c r="F102" i="20"/>
  <c r="E102" i="20"/>
  <c r="D102" i="20"/>
  <c r="C102" i="20"/>
  <c r="B102" i="20"/>
  <c r="A102" i="20"/>
  <c r="L101" i="20"/>
  <c r="K101" i="20"/>
  <c r="H101" i="20"/>
  <c r="G101" i="20"/>
  <c r="F101" i="20"/>
  <c r="E101" i="20"/>
  <c r="D101" i="20"/>
  <c r="C101" i="20"/>
  <c r="B101" i="20"/>
  <c r="A101" i="20"/>
  <c r="L100" i="20"/>
  <c r="K100" i="20"/>
  <c r="H100" i="20"/>
  <c r="G100" i="20"/>
  <c r="F100" i="20"/>
  <c r="E100" i="20"/>
  <c r="D100" i="20"/>
  <c r="C100" i="20"/>
  <c r="B100" i="20"/>
  <c r="A100" i="20"/>
  <c r="L99" i="20"/>
  <c r="K99" i="20"/>
  <c r="H99" i="20"/>
  <c r="G99" i="20"/>
  <c r="F99" i="20"/>
  <c r="E99" i="20"/>
  <c r="D99" i="20"/>
  <c r="C99" i="20"/>
  <c r="B99" i="20"/>
  <c r="A99" i="20"/>
  <c r="L98" i="20"/>
  <c r="K98" i="20"/>
  <c r="H98" i="20"/>
  <c r="G98" i="20"/>
  <c r="F98" i="20"/>
  <c r="E98" i="20"/>
  <c r="D98" i="20"/>
  <c r="C98" i="20"/>
  <c r="B98" i="20"/>
  <c r="A98" i="20"/>
  <c r="L97" i="20"/>
  <c r="K97" i="20"/>
  <c r="H97" i="20"/>
  <c r="G97" i="20"/>
  <c r="F97" i="20"/>
  <c r="E97" i="20"/>
  <c r="D97" i="20"/>
  <c r="C97" i="20"/>
  <c r="B97" i="20"/>
  <c r="A97" i="20"/>
  <c r="L96" i="20"/>
  <c r="K96" i="20"/>
  <c r="H96" i="20"/>
  <c r="G96" i="20"/>
  <c r="F96" i="20"/>
  <c r="E96" i="20"/>
  <c r="D96" i="20"/>
  <c r="C96" i="20"/>
  <c r="B96" i="20"/>
  <c r="A96" i="20"/>
  <c r="L95" i="20"/>
  <c r="K95" i="20"/>
  <c r="H95" i="20"/>
  <c r="G95" i="20"/>
  <c r="F95" i="20"/>
  <c r="E95" i="20"/>
  <c r="D95" i="20"/>
  <c r="C95" i="20"/>
  <c r="B95" i="20"/>
  <c r="A95" i="20"/>
  <c r="L94" i="20"/>
  <c r="K94" i="20"/>
  <c r="H94" i="20"/>
  <c r="G94" i="20"/>
  <c r="F94" i="20"/>
  <c r="E94" i="20"/>
  <c r="D94" i="20"/>
  <c r="C94" i="20"/>
  <c r="B94" i="20"/>
  <c r="A94" i="20"/>
  <c r="L93" i="20"/>
  <c r="K93" i="20"/>
  <c r="H93" i="20"/>
  <c r="G93" i="20"/>
  <c r="F93" i="20"/>
  <c r="E93" i="20"/>
  <c r="D93" i="20"/>
  <c r="C93" i="20"/>
  <c r="B93" i="20"/>
  <c r="A93" i="20"/>
  <c r="L92" i="20"/>
  <c r="K92" i="20"/>
  <c r="H92" i="20"/>
  <c r="G92" i="20"/>
  <c r="F92" i="20"/>
  <c r="E92" i="20"/>
  <c r="D92" i="20"/>
  <c r="C92" i="20"/>
  <c r="B92" i="20"/>
  <c r="A92" i="20"/>
  <c r="L91" i="20"/>
  <c r="K91" i="20"/>
  <c r="H91" i="20"/>
  <c r="G91" i="20"/>
  <c r="F91" i="20"/>
  <c r="E91" i="20"/>
  <c r="D91" i="20"/>
  <c r="C91" i="20"/>
  <c r="B91" i="20"/>
  <c r="A91" i="20"/>
  <c r="L90" i="20"/>
  <c r="K90" i="20"/>
  <c r="H90" i="20"/>
  <c r="G90" i="20"/>
  <c r="F90" i="20"/>
  <c r="E90" i="20"/>
  <c r="D90" i="20"/>
  <c r="C90" i="20"/>
  <c r="B90" i="20"/>
  <c r="A90" i="20"/>
  <c r="L89" i="20"/>
  <c r="K89" i="20"/>
  <c r="H89" i="20"/>
  <c r="G89" i="20"/>
  <c r="F89" i="20"/>
  <c r="E89" i="20"/>
  <c r="D89" i="20"/>
  <c r="C89" i="20"/>
  <c r="B89" i="20"/>
  <c r="A89" i="20"/>
  <c r="L88" i="20"/>
  <c r="K88" i="20"/>
  <c r="H88" i="20"/>
  <c r="G88" i="20"/>
  <c r="F88" i="20"/>
  <c r="E88" i="20"/>
  <c r="D88" i="20"/>
  <c r="C88" i="20"/>
  <c r="B88" i="20"/>
  <c r="A88" i="20"/>
  <c r="L87" i="20"/>
  <c r="K87" i="20"/>
  <c r="H87" i="20"/>
  <c r="G87" i="20"/>
  <c r="F87" i="20"/>
  <c r="E87" i="20"/>
  <c r="D87" i="20"/>
  <c r="C87" i="20"/>
  <c r="B87" i="20"/>
  <c r="A87" i="20"/>
  <c r="L86" i="20"/>
  <c r="K86" i="20"/>
  <c r="H86" i="20"/>
  <c r="G86" i="20"/>
  <c r="F86" i="20"/>
  <c r="E86" i="20"/>
  <c r="D86" i="20"/>
  <c r="C86" i="20"/>
  <c r="B86" i="20"/>
  <c r="A86" i="20"/>
  <c r="L85" i="20"/>
  <c r="K85" i="20"/>
  <c r="H85" i="20"/>
  <c r="G85" i="20"/>
  <c r="F85" i="20"/>
  <c r="E85" i="20"/>
  <c r="D85" i="20"/>
  <c r="C85" i="20"/>
  <c r="B85" i="20"/>
  <c r="A85" i="20"/>
  <c r="L84" i="20"/>
  <c r="K84" i="20"/>
  <c r="H84" i="20"/>
  <c r="G84" i="20"/>
  <c r="F84" i="20"/>
  <c r="E84" i="20"/>
  <c r="D84" i="20"/>
  <c r="C84" i="20"/>
  <c r="B84" i="20"/>
  <c r="A84" i="20"/>
  <c r="L83" i="20"/>
  <c r="K83" i="20"/>
  <c r="H83" i="20"/>
  <c r="G83" i="20"/>
  <c r="F83" i="20"/>
  <c r="E83" i="20"/>
  <c r="D83" i="20"/>
  <c r="C83" i="20"/>
  <c r="B83" i="20"/>
  <c r="A83" i="20"/>
  <c r="L82" i="20"/>
  <c r="K82" i="20"/>
  <c r="H82" i="20"/>
  <c r="G82" i="20"/>
  <c r="F82" i="20"/>
  <c r="E82" i="20"/>
  <c r="D82" i="20"/>
  <c r="C82" i="20"/>
  <c r="B82" i="20"/>
  <c r="A82" i="20"/>
  <c r="L81" i="20"/>
  <c r="K81" i="20"/>
  <c r="H81" i="20"/>
  <c r="G81" i="20"/>
  <c r="F81" i="20"/>
  <c r="E81" i="20"/>
  <c r="D81" i="20"/>
  <c r="C81" i="20"/>
  <c r="B81" i="20"/>
  <c r="A81" i="20"/>
  <c r="L80" i="20"/>
  <c r="K80" i="20"/>
  <c r="H80" i="20"/>
  <c r="G80" i="20"/>
  <c r="F80" i="20"/>
  <c r="E80" i="20"/>
  <c r="D80" i="20"/>
  <c r="C80" i="20"/>
  <c r="B80" i="20"/>
  <c r="A80" i="20"/>
  <c r="L79" i="20"/>
  <c r="K79" i="20"/>
  <c r="H79" i="20"/>
  <c r="G79" i="20"/>
  <c r="F79" i="20"/>
  <c r="E79" i="20"/>
  <c r="D79" i="20"/>
  <c r="C79" i="20"/>
  <c r="B79" i="20"/>
  <c r="A79" i="20"/>
  <c r="L78" i="20"/>
  <c r="K78" i="20"/>
  <c r="H78" i="20"/>
  <c r="G78" i="20"/>
  <c r="F78" i="20"/>
  <c r="E78" i="20"/>
  <c r="D78" i="20"/>
  <c r="C78" i="20"/>
  <c r="B78" i="20"/>
  <c r="A78" i="20"/>
  <c r="L77" i="20"/>
  <c r="K77" i="20"/>
  <c r="H77" i="20"/>
  <c r="G77" i="20"/>
  <c r="F77" i="20"/>
  <c r="E77" i="20"/>
  <c r="D77" i="20"/>
  <c r="C77" i="20"/>
  <c r="B77" i="20"/>
  <c r="A77" i="20"/>
  <c r="L76" i="20"/>
  <c r="K76" i="20"/>
  <c r="H76" i="20"/>
  <c r="G76" i="20"/>
  <c r="F76" i="20"/>
  <c r="E76" i="20"/>
  <c r="D76" i="20"/>
  <c r="C76" i="20"/>
  <c r="B76" i="20"/>
  <c r="A76" i="20"/>
  <c r="L75" i="20"/>
  <c r="K75" i="20"/>
  <c r="H75" i="20"/>
  <c r="G75" i="20"/>
  <c r="F75" i="20"/>
  <c r="E75" i="20"/>
  <c r="D75" i="20"/>
  <c r="C75" i="20"/>
  <c r="B75" i="20"/>
  <c r="A75" i="20"/>
  <c r="L74" i="20"/>
  <c r="K74" i="20"/>
  <c r="H74" i="20"/>
  <c r="G74" i="20"/>
  <c r="F74" i="20"/>
  <c r="E74" i="20"/>
  <c r="D74" i="20"/>
  <c r="C74" i="20"/>
  <c r="B74" i="20"/>
  <c r="A74" i="20"/>
  <c r="L73" i="20"/>
  <c r="K73" i="20"/>
  <c r="H73" i="20"/>
  <c r="G73" i="20"/>
  <c r="F73" i="20"/>
  <c r="E73" i="20"/>
  <c r="D73" i="20"/>
  <c r="C73" i="20"/>
  <c r="B73" i="20"/>
  <c r="A73" i="20"/>
  <c r="L72" i="20"/>
  <c r="K72" i="20"/>
  <c r="H72" i="20"/>
  <c r="G72" i="20"/>
  <c r="F72" i="20"/>
  <c r="E72" i="20"/>
  <c r="D72" i="20"/>
  <c r="C72" i="20"/>
  <c r="B72" i="20"/>
  <c r="A72" i="20"/>
  <c r="L71" i="20"/>
  <c r="K71" i="20"/>
  <c r="H71" i="20"/>
  <c r="G71" i="20"/>
  <c r="F71" i="20"/>
  <c r="E71" i="20"/>
  <c r="D71" i="20"/>
  <c r="C71" i="20"/>
  <c r="B71" i="20"/>
  <c r="A71" i="20"/>
  <c r="L70" i="20"/>
  <c r="K70" i="20"/>
  <c r="H70" i="20"/>
  <c r="G70" i="20"/>
  <c r="F70" i="20"/>
  <c r="E70" i="20"/>
  <c r="D70" i="20"/>
  <c r="C70" i="20"/>
  <c r="B70" i="20"/>
  <c r="A70" i="20"/>
  <c r="L69" i="20"/>
  <c r="K69" i="20"/>
  <c r="H69" i="20"/>
  <c r="G69" i="20"/>
  <c r="F69" i="20"/>
  <c r="E69" i="20"/>
  <c r="D69" i="20"/>
  <c r="C69" i="20"/>
  <c r="B69" i="20"/>
  <c r="A69" i="20"/>
  <c r="L68" i="20"/>
  <c r="K68" i="20"/>
  <c r="H68" i="20"/>
  <c r="G68" i="20"/>
  <c r="F68" i="20"/>
  <c r="E68" i="20"/>
  <c r="D68" i="20"/>
  <c r="C68" i="20"/>
  <c r="B68" i="20"/>
  <c r="A68" i="20"/>
  <c r="L67" i="20"/>
  <c r="K67" i="20"/>
  <c r="H67" i="20"/>
  <c r="G67" i="20"/>
  <c r="F67" i="20"/>
  <c r="E67" i="20"/>
  <c r="D67" i="20"/>
  <c r="C67" i="20"/>
  <c r="B67" i="20"/>
  <c r="A67" i="20"/>
  <c r="L66" i="20"/>
  <c r="K66" i="20"/>
  <c r="H66" i="20"/>
  <c r="G66" i="20"/>
  <c r="F66" i="20"/>
  <c r="E66" i="20"/>
  <c r="D66" i="20"/>
  <c r="C66" i="20"/>
  <c r="B66" i="20"/>
  <c r="A66" i="20"/>
  <c r="L65" i="20"/>
  <c r="K65" i="20"/>
  <c r="H65" i="20"/>
  <c r="G65" i="20"/>
  <c r="F65" i="20"/>
  <c r="E65" i="20"/>
  <c r="D65" i="20"/>
  <c r="C65" i="20"/>
  <c r="B65" i="20"/>
  <c r="A65" i="20"/>
  <c r="L64" i="20"/>
  <c r="K64" i="20"/>
  <c r="H64" i="20"/>
  <c r="G64" i="20"/>
  <c r="F64" i="20"/>
  <c r="E64" i="20"/>
  <c r="D64" i="20"/>
  <c r="C64" i="20"/>
  <c r="B64" i="20"/>
  <c r="A64" i="20"/>
  <c r="L63" i="20"/>
  <c r="K63" i="20"/>
  <c r="H63" i="20"/>
  <c r="G63" i="20"/>
  <c r="F63" i="20"/>
  <c r="E63" i="20"/>
  <c r="D63" i="20"/>
  <c r="C63" i="20"/>
  <c r="B63" i="20"/>
  <c r="A63" i="20"/>
  <c r="L62" i="20"/>
  <c r="K62" i="20"/>
  <c r="H62" i="20"/>
  <c r="G62" i="20"/>
  <c r="F62" i="20"/>
  <c r="E62" i="20"/>
  <c r="D62" i="20"/>
  <c r="C62" i="20"/>
  <c r="B62" i="20"/>
  <c r="A62" i="20"/>
  <c r="L61" i="20"/>
  <c r="K61" i="20"/>
  <c r="H61" i="20"/>
  <c r="G61" i="20"/>
  <c r="F61" i="20"/>
  <c r="E61" i="20"/>
  <c r="D61" i="20"/>
  <c r="C61" i="20"/>
  <c r="B61" i="20"/>
  <c r="A61" i="20"/>
  <c r="L60" i="20"/>
  <c r="K60" i="20"/>
  <c r="H60" i="20"/>
  <c r="G60" i="20"/>
  <c r="F60" i="20"/>
  <c r="E60" i="20"/>
  <c r="D60" i="20"/>
  <c r="C60" i="20"/>
  <c r="B60" i="20"/>
  <c r="A60" i="20"/>
  <c r="L59" i="20"/>
  <c r="K59" i="20"/>
  <c r="H59" i="20"/>
  <c r="G59" i="20"/>
  <c r="F59" i="20"/>
  <c r="E59" i="20"/>
  <c r="D59" i="20"/>
  <c r="C59" i="20"/>
  <c r="B59" i="20"/>
  <c r="A59" i="20"/>
  <c r="L58" i="20"/>
  <c r="K58" i="20"/>
  <c r="H58" i="20"/>
  <c r="G58" i="20"/>
  <c r="F58" i="20"/>
  <c r="E58" i="20"/>
  <c r="D58" i="20"/>
  <c r="C58" i="20"/>
  <c r="B58" i="20"/>
  <c r="A58" i="20"/>
  <c r="L57" i="20"/>
  <c r="K57" i="20"/>
  <c r="H57" i="20"/>
  <c r="G57" i="20"/>
  <c r="F57" i="20"/>
  <c r="E57" i="20"/>
  <c r="D57" i="20"/>
  <c r="C57" i="20"/>
  <c r="B57" i="20"/>
  <c r="A57" i="20"/>
  <c r="L56" i="20"/>
  <c r="K56" i="20"/>
  <c r="H56" i="20"/>
  <c r="G56" i="20"/>
  <c r="F56" i="20"/>
  <c r="E56" i="20"/>
  <c r="D56" i="20"/>
  <c r="C56" i="20"/>
  <c r="B56" i="20"/>
  <c r="A56" i="20"/>
  <c r="L55" i="20"/>
  <c r="K55" i="20"/>
  <c r="H55" i="20"/>
  <c r="G55" i="20"/>
  <c r="F55" i="20"/>
  <c r="E55" i="20"/>
  <c r="D55" i="20"/>
  <c r="C55" i="20"/>
  <c r="B55" i="20"/>
  <c r="A55" i="20"/>
  <c r="L54" i="20"/>
  <c r="K54" i="20"/>
  <c r="H54" i="20"/>
  <c r="G54" i="20"/>
  <c r="F54" i="20"/>
  <c r="E54" i="20"/>
  <c r="D54" i="20"/>
  <c r="C54" i="20"/>
  <c r="B54" i="20"/>
  <c r="A54" i="20"/>
  <c r="L53" i="20"/>
  <c r="K53" i="20"/>
  <c r="H53" i="20"/>
  <c r="G53" i="20"/>
  <c r="F53" i="20"/>
  <c r="E53" i="20"/>
  <c r="D53" i="20"/>
  <c r="C53" i="20"/>
  <c r="B53" i="20"/>
  <c r="A53" i="20"/>
  <c r="L52" i="20"/>
  <c r="K52" i="20"/>
  <c r="H52" i="20"/>
  <c r="G52" i="20"/>
  <c r="F52" i="20"/>
  <c r="E52" i="20"/>
  <c r="D52" i="20"/>
  <c r="C52" i="20"/>
  <c r="B52" i="20"/>
  <c r="A52" i="20"/>
  <c r="L51" i="20"/>
  <c r="K51" i="20"/>
  <c r="H51" i="20"/>
  <c r="G51" i="20"/>
  <c r="F51" i="20"/>
  <c r="E51" i="20"/>
  <c r="D51" i="20"/>
  <c r="C51" i="20"/>
  <c r="B51" i="20"/>
  <c r="A51" i="20"/>
  <c r="L50" i="20"/>
  <c r="K50" i="20"/>
  <c r="H50" i="20"/>
  <c r="G50" i="20"/>
  <c r="F50" i="20"/>
  <c r="E50" i="20"/>
  <c r="D50" i="20"/>
  <c r="C50" i="20"/>
  <c r="B50" i="20"/>
  <c r="A50" i="20"/>
  <c r="L49" i="20"/>
  <c r="K49" i="20"/>
  <c r="H49" i="20"/>
  <c r="G49" i="20"/>
  <c r="F49" i="20"/>
  <c r="E49" i="20"/>
  <c r="D49" i="20"/>
  <c r="C49" i="20"/>
  <c r="B49" i="20"/>
  <c r="A49" i="20"/>
  <c r="L48" i="20"/>
  <c r="K48" i="20"/>
  <c r="H48" i="20"/>
  <c r="G48" i="20"/>
  <c r="F48" i="20"/>
  <c r="E48" i="20"/>
  <c r="D48" i="20"/>
  <c r="C48" i="20"/>
  <c r="B48" i="20"/>
  <c r="A48" i="20"/>
  <c r="L47" i="20"/>
  <c r="K47" i="20"/>
  <c r="H47" i="20"/>
  <c r="G47" i="20"/>
  <c r="F47" i="20"/>
  <c r="E47" i="20"/>
  <c r="D47" i="20"/>
  <c r="C47" i="20"/>
  <c r="B47" i="20"/>
  <c r="A47" i="20"/>
  <c r="L46" i="20"/>
  <c r="K46" i="20"/>
  <c r="H46" i="20"/>
  <c r="G46" i="20"/>
  <c r="F46" i="20"/>
  <c r="E46" i="20"/>
  <c r="D46" i="20"/>
  <c r="C46" i="20"/>
  <c r="B46" i="20"/>
  <c r="A46" i="20"/>
  <c r="L45" i="20"/>
  <c r="K45" i="20"/>
  <c r="H45" i="20"/>
  <c r="G45" i="20"/>
  <c r="F45" i="20"/>
  <c r="E45" i="20"/>
  <c r="D45" i="20"/>
  <c r="C45" i="20"/>
  <c r="B45" i="20"/>
  <c r="A45" i="20"/>
  <c r="L44" i="20"/>
  <c r="K44" i="20"/>
  <c r="H44" i="20"/>
  <c r="G44" i="20"/>
  <c r="F44" i="20"/>
  <c r="E44" i="20"/>
  <c r="D44" i="20"/>
  <c r="C44" i="20"/>
  <c r="B44" i="20"/>
  <c r="A44" i="20"/>
  <c r="L43" i="20"/>
  <c r="K43" i="20"/>
  <c r="H43" i="20"/>
  <c r="G43" i="20"/>
  <c r="F43" i="20"/>
  <c r="E43" i="20"/>
  <c r="D43" i="20"/>
  <c r="C43" i="20"/>
  <c r="B43" i="20"/>
  <c r="A43" i="20"/>
  <c r="L42" i="20"/>
  <c r="K42" i="20"/>
  <c r="H42" i="20"/>
  <c r="G42" i="20"/>
  <c r="F42" i="20"/>
  <c r="E42" i="20"/>
  <c r="D42" i="20"/>
  <c r="C42" i="20"/>
  <c r="B42" i="20"/>
  <c r="A42" i="20"/>
  <c r="L41" i="20"/>
  <c r="K41" i="20"/>
  <c r="H41" i="20"/>
  <c r="G41" i="20"/>
  <c r="F41" i="20"/>
  <c r="E41" i="20"/>
  <c r="D41" i="20"/>
  <c r="C41" i="20"/>
  <c r="B41" i="20"/>
  <c r="A41" i="20"/>
  <c r="L40" i="20"/>
  <c r="K40" i="20"/>
  <c r="H40" i="20"/>
  <c r="G40" i="20"/>
  <c r="F40" i="20"/>
  <c r="E40" i="20"/>
  <c r="D40" i="20"/>
  <c r="C40" i="20"/>
  <c r="B40" i="20"/>
  <c r="A40" i="20"/>
  <c r="L39" i="20"/>
  <c r="K39" i="20"/>
  <c r="H39" i="20"/>
  <c r="G39" i="20"/>
  <c r="F39" i="20"/>
  <c r="E39" i="20"/>
  <c r="D39" i="20"/>
  <c r="C39" i="20"/>
  <c r="B39" i="20"/>
  <c r="A39" i="20"/>
  <c r="L38" i="20"/>
  <c r="K38" i="20"/>
  <c r="H38" i="20"/>
  <c r="G38" i="20"/>
  <c r="F38" i="20"/>
  <c r="E38" i="20"/>
  <c r="D38" i="20"/>
  <c r="C38" i="20"/>
  <c r="B38" i="20"/>
  <c r="A38" i="20"/>
  <c r="L37" i="20"/>
  <c r="K37" i="20"/>
  <c r="H37" i="20"/>
  <c r="G37" i="20"/>
  <c r="F37" i="20"/>
  <c r="E37" i="20"/>
  <c r="D37" i="20"/>
  <c r="C37" i="20"/>
  <c r="B37" i="20"/>
  <c r="A37" i="20"/>
  <c r="L36" i="20"/>
  <c r="K36" i="20"/>
  <c r="H36" i="20"/>
  <c r="G36" i="20"/>
  <c r="F36" i="20"/>
  <c r="E36" i="20"/>
  <c r="D36" i="20"/>
  <c r="C36" i="20"/>
  <c r="B36" i="20"/>
  <c r="A36" i="20"/>
  <c r="L35" i="20"/>
  <c r="K35" i="20"/>
  <c r="H35" i="20"/>
  <c r="G35" i="20"/>
  <c r="F35" i="20"/>
  <c r="E35" i="20"/>
  <c r="D35" i="20"/>
  <c r="C35" i="20"/>
  <c r="B35" i="20"/>
  <c r="A35" i="20"/>
  <c r="L34" i="20"/>
  <c r="K34" i="20"/>
  <c r="H34" i="20"/>
  <c r="G34" i="20"/>
  <c r="F34" i="20"/>
  <c r="E34" i="20"/>
  <c r="D34" i="20"/>
  <c r="C34" i="20"/>
  <c r="B34" i="20"/>
  <c r="A34" i="20"/>
  <c r="L33" i="20"/>
  <c r="K33" i="20"/>
  <c r="H33" i="20"/>
  <c r="G33" i="20"/>
  <c r="F33" i="20"/>
  <c r="E33" i="20"/>
  <c r="D33" i="20"/>
  <c r="C33" i="20"/>
  <c r="B33" i="20"/>
  <c r="A33" i="20"/>
  <c r="L32" i="20"/>
  <c r="K32" i="20"/>
  <c r="H32" i="20"/>
  <c r="G32" i="20"/>
  <c r="F32" i="20"/>
  <c r="E32" i="20"/>
  <c r="D32" i="20"/>
  <c r="C32" i="20"/>
  <c r="B32" i="20"/>
  <c r="A32" i="20"/>
  <c r="L31" i="20"/>
  <c r="K31" i="20"/>
  <c r="H31" i="20"/>
  <c r="G31" i="20"/>
  <c r="F31" i="20"/>
  <c r="E31" i="20"/>
  <c r="D31" i="20"/>
  <c r="C31" i="20"/>
  <c r="B31" i="20"/>
  <c r="A31" i="20"/>
  <c r="L30" i="20"/>
  <c r="K30" i="20"/>
  <c r="H30" i="20"/>
  <c r="G30" i="20"/>
  <c r="F30" i="20"/>
  <c r="E30" i="20"/>
  <c r="D30" i="20"/>
  <c r="C30" i="20"/>
  <c r="B30" i="20"/>
  <c r="A30" i="20"/>
  <c r="L29" i="20"/>
  <c r="K29" i="20"/>
  <c r="H29" i="20"/>
  <c r="G29" i="20"/>
  <c r="F29" i="20"/>
  <c r="E29" i="20"/>
  <c r="D29" i="20"/>
  <c r="C29" i="20"/>
  <c r="B29" i="20"/>
  <c r="A29" i="20"/>
  <c r="L28" i="20"/>
  <c r="K28" i="20"/>
  <c r="H28" i="20"/>
  <c r="G28" i="20"/>
  <c r="F28" i="20"/>
  <c r="E28" i="20"/>
  <c r="D28" i="20"/>
  <c r="C28" i="20"/>
  <c r="B28" i="20"/>
  <c r="A28" i="20"/>
  <c r="L27" i="20"/>
  <c r="K27" i="20"/>
  <c r="H27" i="20"/>
  <c r="G27" i="20"/>
  <c r="F27" i="20"/>
  <c r="E27" i="20"/>
  <c r="D27" i="20"/>
  <c r="C27" i="20"/>
  <c r="B27" i="20"/>
  <c r="A27" i="20"/>
  <c r="L26" i="20"/>
  <c r="K26" i="20"/>
  <c r="H26" i="20"/>
  <c r="G26" i="20"/>
  <c r="F26" i="20"/>
  <c r="E26" i="20"/>
  <c r="D26" i="20"/>
  <c r="C26" i="20"/>
  <c r="B26" i="20"/>
  <c r="A26" i="20"/>
  <c r="L25" i="20"/>
  <c r="K25" i="20"/>
  <c r="H25" i="20"/>
  <c r="G25" i="20"/>
  <c r="F25" i="20"/>
  <c r="E25" i="20"/>
  <c r="D25" i="20"/>
  <c r="C25" i="20"/>
  <c r="B25" i="20"/>
  <c r="A25" i="20"/>
  <c r="L24" i="20"/>
  <c r="K24" i="20"/>
  <c r="H24" i="20"/>
  <c r="G24" i="20"/>
  <c r="F24" i="20"/>
  <c r="E24" i="20"/>
  <c r="D24" i="20"/>
  <c r="C24" i="20"/>
  <c r="B24" i="20"/>
  <c r="A24" i="20"/>
  <c r="L23" i="20"/>
  <c r="K23" i="20"/>
  <c r="H23" i="20"/>
  <c r="G23" i="20"/>
  <c r="F23" i="20"/>
  <c r="E23" i="20"/>
  <c r="D23" i="20"/>
  <c r="C23" i="20"/>
  <c r="B23" i="20"/>
  <c r="A23" i="20"/>
  <c r="L22" i="20"/>
  <c r="K22" i="20"/>
  <c r="H22" i="20"/>
  <c r="G22" i="20"/>
  <c r="F22" i="20"/>
  <c r="E22" i="20"/>
  <c r="D22" i="20"/>
  <c r="C22" i="20"/>
  <c r="B22" i="20"/>
  <c r="A22" i="20"/>
  <c r="L21" i="20"/>
  <c r="K21" i="20"/>
  <c r="H21" i="20"/>
  <c r="G21" i="20"/>
  <c r="F21" i="20"/>
  <c r="E21" i="20"/>
  <c r="D21" i="20"/>
  <c r="C21" i="20"/>
  <c r="B21" i="20"/>
  <c r="A21" i="20"/>
  <c r="L20" i="20"/>
  <c r="K20" i="20"/>
  <c r="H20" i="20"/>
  <c r="G20" i="20"/>
  <c r="F20" i="20"/>
  <c r="E20" i="20"/>
  <c r="D20" i="20"/>
  <c r="C20" i="20"/>
  <c r="B20" i="20"/>
  <c r="A20" i="20"/>
  <c r="L19" i="20"/>
  <c r="K19" i="20"/>
  <c r="H19" i="20"/>
  <c r="G19" i="20"/>
  <c r="F19" i="20"/>
  <c r="E19" i="20"/>
  <c r="D19" i="20"/>
  <c r="C19" i="20"/>
  <c r="B19" i="20"/>
  <c r="A19" i="20"/>
  <c r="L18" i="20"/>
  <c r="K18" i="20"/>
  <c r="H18" i="20"/>
  <c r="G18" i="20"/>
  <c r="F18" i="20"/>
  <c r="E18" i="20"/>
  <c r="D18" i="20"/>
  <c r="C18" i="20"/>
  <c r="B18" i="20"/>
  <c r="A18" i="20"/>
  <c r="L17" i="20"/>
  <c r="K17" i="20"/>
  <c r="H17" i="20"/>
  <c r="G17" i="20"/>
  <c r="F17" i="20"/>
  <c r="E17" i="20"/>
  <c r="D17" i="20"/>
  <c r="C17" i="20"/>
  <c r="B17" i="20"/>
  <c r="A17" i="20"/>
  <c r="L16" i="20"/>
  <c r="K16" i="20"/>
  <c r="H16" i="20"/>
  <c r="G16" i="20"/>
  <c r="F16" i="20"/>
  <c r="E16" i="20"/>
  <c r="D16" i="20"/>
  <c r="C16" i="20"/>
  <c r="B16" i="20"/>
  <c r="A16" i="20"/>
  <c r="L15" i="20"/>
  <c r="K15" i="20"/>
  <c r="H15" i="20"/>
  <c r="G15" i="20"/>
  <c r="F15" i="20"/>
  <c r="E15" i="20"/>
  <c r="D15" i="20"/>
  <c r="C15" i="20"/>
  <c r="B15" i="20"/>
  <c r="A15" i="20"/>
  <c r="L14" i="20"/>
  <c r="K14" i="20"/>
  <c r="H14" i="20"/>
  <c r="G14" i="20"/>
  <c r="F14" i="20"/>
  <c r="E14" i="20"/>
  <c r="D14" i="20"/>
  <c r="C14" i="20"/>
  <c r="B14" i="20"/>
  <c r="A14" i="20"/>
  <c r="L13" i="20"/>
  <c r="K13" i="20"/>
  <c r="H13" i="20"/>
  <c r="G13" i="20"/>
  <c r="F13" i="20"/>
  <c r="E13" i="20"/>
  <c r="D13" i="20"/>
  <c r="C13" i="20"/>
  <c r="B13" i="20"/>
  <c r="A13" i="20"/>
  <c r="L12" i="20"/>
  <c r="K12" i="20"/>
  <c r="H12" i="20"/>
  <c r="G12" i="20"/>
  <c r="F12" i="20"/>
  <c r="E12" i="20"/>
  <c r="D12" i="20"/>
  <c r="C12" i="20"/>
  <c r="B12" i="20"/>
  <c r="A12" i="20"/>
  <c r="L11" i="20"/>
  <c r="K11" i="20"/>
  <c r="H11" i="20"/>
  <c r="G11" i="20"/>
  <c r="F11" i="20"/>
  <c r="E11" i="20"/>
  <c r="D11" i="20"/>
  <c r="C11" i="20"/>
  <c r="B11" i="20"/>
  <c r="A11" i="20"/>
  <c r="L10" i="20"/>
  <c r="K10" i="20"/>
  <c r="H10" i="20"/>
  <c r="G10" i="20"/>
  <c r="F10" i="20"/>
  <c r="E10" i="20"/>
  <c r="D10" i="20"/>
  <c r="C10" i="20"/>
  <c r="B10" i="20"/>
  <c r="A10" i="20"/>
  <c r="L9" i="20"/>
  <c r="K9" i="20"/>
  <c r="H9" i="20"/>
  <c r="G9" i="20"/>
  <c r="F9" i="20"/>
  <c r="E9" i="20"/>
  <c r="D9" i="20"/>
  <c r="C9" i="20"/>
  <c r="B9" i="20"/>
  <c r="A9" i="20"/>
  <c r="L8" i="20"/>
  <c r="K8" i="20"/>
  <c r="H8" i="20"/>
  <c r="G8" i="20"/>
  <c r="F8" i="20"/>
  <c r="E8" i="20"/>
  <c r="D8" i="20"/>
  <c r="C8" i="20"/>
  <c r="B8" i="20"/>
  <c r="A8" i="20"/>
  <c r="K7" i="20"/>
  <c r="H7" i="20"/>
  <c r="G7" i="20"/>
  <c r="F7" i="20"/>
  <c r="E7" i="20"/>
  <c r="D7" i="20"/>
  <c r="C7" i="20"/>
  <c r="B7" i="20"/>
  <c r="A7" i="20"/>
  <c r="J2" i="20"/>
  <c r="D28" i="1" s="1"/>
  <c r="L110" i="19"/>
  <c r="K110" i="19"/>
  <c r="H110" i="19"/>
  <c r="G110" i="19"/>
  <c r="F110" i="19"/>
  <c r="E110" i="19"/>
  <c r="D110" i="19"/>
  <c r="C110" i="19"/>
  <c r="B110" i="19"/>
  <c r="A110" i="19"/>
  <c r="L109" i="19"/>
  <c r="K109" i="19"/>
  <c r="H109" i="19"/>
  <c r="G109" i="19"/>
  <c r="F109" i="19"/>
  <c r="E109" i="19"/>
  <c r="D109" i="19"/>
  <c r="C109" i="19"/>
  <c r="B109" i="19"/>
  <c r="A109" i="19"/>
  <c r="L108" i="19"/>
  <c r="K108" i="19"/>
  <c r="H108" i="19"/>
  <c r="G108" i="19"/>
  <c r="F108" i="19"/>
  <c r="E108" i="19"/>
  <c r="D108" i="19"/>
  <c r="C108" i="19"/>
  <c r="B108" i="19"/>
  <c r="A108" i="19"/>
  <c r="L107" i="19"/>
  <c r="K107" i="19"/>
  <c r="H107" i="19"/>
  <c r="G107" i="19"/>
  <c r="F107" i="19"/>
  <c r="E107" i="19"/>
  <c r="D107" i="19"/>
  <c r="C107" i="19"/>
  <c r="B107" i="19"/>
  <c r="A107" i="19"/>
  <c r="L106" i="19"/>
  <c r="K106" i="19"/>
  <c r="H106" i="19"/>
  <c r="G106" i="19"/>
  <c r="F106" i="19"/>
  <c r="E106" i="19"/>
  <c r="D106" i="19"/>
  <c r="C106" i="19"/>
  <c r="B106" i="19"/>
  <c r="A106" i="19"/>
  <c r="L105" i="19"/>
  <c r="K105" i="19"/>
  <c r="H105" i="19"/>
  <c r="G105" i="19"/>
  <c r="F105" i="19"/>
  <c r="E105" i="19"/>
  <c r="D105" i="19"/>
  <c r="C105" i="19"/>
  <c r="B105" i="19"/>
  <c r="A105" i="19"/>
  <c r="L104" i="19"/>
  <c r="K104" i="19"/>
  <c r="H104" i="19"/>
  <c r="G104" i="19"/>
  <c r="F104" i="19"/>
  <c r="E104" i="19"/>
  <c r="D104" i="19"/>
  <c r="C104" i="19"/>
  <c r="B104" i="19"/>
  <c r="A104" i="19"/>
  <c r="L103" i="19"/>
  <c r="K103" i="19"/>
  <c r="H103" i="19"/>
  <c r="G103" i="19"/>
  <c r="F103" i="19"/>
  <c r="E103" i="19"/>
  <c r="D103" i="19"/>
  <c r="C103" i="19"/>
  <c r="B103" i="19"/>
  <c r="A103" i="19"/>
  <c r="L102" i="19"/>
  <c r="K102" i="19"/>
  <c r="H102" i="19"/>
  <c r="G102" i="19"/>
  <c r="F102" i="19"/>
  <c r="E102" i="19"/>
  <c r="D102" i="19"/>
  <c r="C102" i="19"/>
  <c r="B102" i="19"/>
  <c r="A102" i="19"/>
  <c r="L101" i="19"/>
  <c r="K101" i="19"/>
  <c r="H101" i="19"/>
  <c r="G101" i="19"/>
  <c r="F101" i="19"/>
  <c r="E101" i="19"/>
  <c r="D101" i="19"/>
  <c r="C101" i="19"/>
  <c r="B101" i="19"/>
  <c r="A101" i="19"/>
  <c r="L100" i="19"/>
  <c r="K100" i="19"/>
  <c r="H100" i="19"/>
  <c r="G100" i="19"/>
  <c r="F100" i="19"/>
  <c r="E100" i="19"/>
  <c r="D100" i="19"/>
  <c r="C100" i="19"/>
  <c r="B100" i="19"/>
  <c r="A100" i="19"/>
  <c r="L99" i="19"/>
  <c r="K99" i="19"/>
  <c r="H99" i="19"/>
  <c r="G99" i="19"/>
  <c r="F99" i="19"/>
  <c r="E99" i="19"/>
  <c r="D99" i="19"/>
  <c r="C99" i="19"/>
  <c r="B99" i="19"/>
  <c r="A99" i="19"/>
  <c r="L98" i="19"/>
  <c r="K98" i="19"/>
  <c r="H98" i="19"/>
  <c r="G98" i="19"/>
  <c r="F98" i="19"/>
  <c r="E98" i="19"/>
  <c r="D98" i="19"/>
  <c r="C98" i="19"/>
  <c r="B98" i="19"/>
  <c r="A98" i="19"/>
  <c r="L97" i="19"/>
  <c r="K97" i="19"/>
  <c r="H97" i="19"/>
  <c r="G97" i="19"/>
  <c r="F97" i="19"/>
  <c r="E97" i="19"/>
  <c r="D97" i="19"/>
  <c r="C97" i="19"/>
  <c r="B97" i="19"/>
  <c r="A97" i="19"/>
  <c r="L96" i="19"/>
  <c r="K96" i="19"/>
  <c r="H96" i="19"/>
  <c r="G96" i="19"/>
  <c r="F96" i="19"/>
  <c r="E96" i="19"/>
  <c r="D96" i="19"/>
  <c r="C96" i="19"/>
  <c r="B96" i="19"/>
  <c r="A96" i="19"/>
  <c r="L95" i="19"/>
  <c r="K95" i="19"/>
  <c r="H95" i="19"/>
  <c r="G95" i="19"/>
  <c r="F95" i="19"/>
  <c r="E95" i="19"/>
  <c r="D95" i="19"/>
  <c r="C95" i="19"/>
  <c r="B95" i="19"/>
  <c r="A95" i="19"/>
  <c r="L94" i="19"/>
  <c r="K94" i="19"/>
  <c r="H94" i="19"/>
  <c r="G94" i="19"/>
  <c r="F94" i="19"/>
  <c r="E94" i="19"/>
  <c r="D94" i="19"/>
  <c r="C94" i="19"/>
  <c r="B94" i="19"/>
  <c r="A94" i="19"/>
  <c r="L93" i="19"/>
  <c r="K93" i="19"/>
  <c r="H93" i="19"/>
  <c r="G93" i="19"/>
  <c r="F93" i="19"/>
  <c r="E93" i="19"/>
  <c r="D93" i="19"/>
  <c r="C93" i="19"/>
  <c r="B93" i="19"/>
  <c r="A93" i="19"/>
  <c r="L92" i="19"/>
  <c r="K92" i="19"/>
  <c r="H92" i="19"/>
  <c r="G92" i="19"/>
  <c r="F92" i="19"/>
  <c r="E92" i="19"/>
  <c r="D92" i="19"/>
  <c r="C92" i="19"/>
  <c r="B92" i="19"/>
  <c r="A92" i="19"/>
  <c r="L91" i="19"/>
  <c r="K91" i="19"/>
  <c r="H91" i="19"/>
  <c r="G91" i="19"/>
  <c r="F91" i="19"/>
  <c r="E91" i="19"/>
  <c r="D91" i="19"/>
  <c r="C91" i="19"/>
  <c r="B91" i="19"/>
  <c r="A91" i="19"/>
  <c r="L90" i="19"/>
  <c r="K90" i="19"/>
  <c r="H90" i="19"/>
  <c r="G90" i="19"/>
  <c r="F90" i="19"/>
  <c r="E90" i="19"/>
  <c r="D90" i="19"/>
  <c r="C90" i="19"/>
  <c r="B90" i="19"/>
  <c r="A90" i="19"/>
  <c r="L89" i="19"/>
  <c r="K89" i="19"/>
  <c r="H89" i="19"/>
  <c r="G89" i="19"/>
  <c r="F89" i="19"/>
  <c r="E89" i="19"/>
  <c r="D89" i="19"/>
  <c r="C89" i="19"/>
  <c r="B89" i="19"/>
  <c r="A89" i="19"/>
  <c r="L88" i="19"/>
  <c r="K88" i="19"/>
  <c r="H88" i="19"/>
  <c r="G88" i="19"/>
  <c r="F88" i="19"/>
  <c r="E88" i="19"/>
  <c r="D88" i="19"/>
  <c r="C88" i="19"/>
  <c r="B88" i="19"/>
  <c r="A88" i="19"/>
  <c r="L87" i="19"/>
  <c r="K87" i="19"/>
  <c r="H87" i="19"/>
  <c r="G87" i="19"/>
  <c r="F87" i="19"/>
  <c r="E87" i="19"/>
  <c r="D87" i="19"/>
  <c r="C87" i="19"/>
  <c r="B87" i="19"/>
  <c r="A87" i="19"/>
  <c r="L86" i="19"/>
  <c r="K86" i="19"/>
  <c r="H86" i="19"/>
  <c r="G86" i="19"/>
  <c r="F86" i="19"/>
  <c r="E86" i="19"/>
  <c r="D86" i="19"/>
  <c r="C86" i="19"/>
  <c r="B86" i="19"/>
  <c r="A86" i="19"/>
  <c r="L85" i="19"/>
  <c r="K85" i="19"/>
  <c r="H85" i="19"/>
  <c r="G85" i="19"/>
  <c r="F85" i="19"/>
  <c r="E85" i="19"/>
  <c r="D85" i="19"/>
  <c r="C85" i="19"/>
  <c r="B85" i="19"/>
  <c r="A85" i="19"/>
  <c r="L84" i="19"/>
  <c r="K84" i="19"/>
  <c r="H84" i="19"/>
  <c r="G84" i="19"/>
  <c r="F84" i="19"/>
  <c r="E84" i="19"/>
  <c r="D84" i="19"/>
  <c r="C84" i="19"/>
  <c r="B84" i="19"/>
  <c r="A84" i="19"/>
  <c r="L83" i="19"/>
  <c r="K83" i="19"/>
  <c r="H83" i="19"/>
  <c r="G83" i="19"/>
  <c r="F83" i="19"/>
  <c r="E83" i="19"/>
  <c r="D83" i="19"/>
  <c r="C83" i="19"/>
  <c r="B83" i="19"/>
  <c r="A83" i="19"/>
  <c r="L82" i="19"/>
  <c r="K82" i="19"/>
  <c r="H82" i="19"/>
  <c r="G82" i="19"/>
  <c r="F82" i="19"/>
  <c r="E82" i="19"/>
  <c r="D82" i="19"/>
  <c r="C82" i="19"/>
  <c r="B82" i="19"/>
  <c r="A82" i="19"/>
  <c r="L81" i="19"/>
  <c r="K81" i="19"/>
  <c r="H81" i="19"/>
  <c r="G81" i="19"/>
  <c r="F81" i="19"/>
  <c r="E81" i="19"/>
  <c r="D81" i="19"/>
  <c r="C81" i="19"/>
  <c r="B81" i="19"/>
  <c r="A81" i="19"/>
  <c r="L80" i="19"/>
  <c r="K80" i="19"/>
  <c r="H80" i="19"/>
  <c r="G80" i="19"/>
  <c r="F80" i="19"/>
  <c r="E80" i="19"/>
  <c r="D80" i="19"/>
  <c r="C80" i="19"/>
  <c r="B80" i="19"/>
  <c r="A80" i="19"/>
  <c r="L79" i="19"/>
  <c r="K79" i="19"/>
  <c r="H79" i="19"/>
  <c r="G79" i="19"/>
  <c r="F79" i="19"/>
  <c r="E79" i="19"/>
  <c r="D79" i="19"/>
  <c r="C79" i="19"/>
  <c r="B79" i="19"/>
  <c r="A79" i="19"/>
  <c r="L78" i="19"/>
  <c r="K78" i="19"/>
  <c r="H78" i="19"/>
  <c r="G78" i="19"/>
  <c r="F78" i="19"/>
  <c r="E78" i="19"/>
  <c r="D78" i="19"/>
  <c r="C78" i="19"/>
  <c r="B78" i="19"/>
  <c r="A78" i="19"/>
  <c r="L77" i="19"/>
  <c r="K77" i="19"/>
  <c r="H77" i="19"/>
  <c r="G77" i="19"/>
  <c r="F77" i="19"/>
  <c r="E77" i="19"/>
  <c r="D77" i="19"/>
  <c r="C77" i="19"/>
  <c r="B77" i="19"/>
  <c r="A77" i="19"/>
  <c r="L76" i="19"/>
  <c r="K76" i="19"/>
  <c r="H76" i="19"/>
  <c r="G76" i="19"/>
  <c r="F76" i="19"/>
  <c r="E76" i="19"/>
  <c r="D76" i="19"/>
  <c r="C76" i="19"/>
  <c r="B76" i="19"/>
  <c r="A76" i="19"/>
  <c r="L75" i="19"/>
  <c r="K75" i="19"/>
  <c r="H75" i="19"/>
  <c r="G75" i="19"/>
  <c r="F75" i="19"/>
  <c r="E75" i="19"/>
  <c r="D75" i="19"/>
  <c r="C75" i="19"/>
  <c r="B75" i="19"/>
  <c r="A75" i="19"/>
  <c r="L74" i="19"/>
  <c r="K74" i="19"/>
  <c r="H74" i="19"/>
  <c r="G74" i="19"/>
  <c r="F74" i="19"/>
  <c r="E74" i="19"/>
  <c r="D74" i="19"/>
  <c r="C74" i="19"/>
  <c r="B74" i="19"/>
  <c r="A74" i="19"/>
  <c r="L73" i="19"/>
  <c r="K73" i="19"/>
  <c r="H73" i="19"/>
  <c r="G73" i="19"/>
  <c r="F73" i="19"/>
  <c r="E73" i="19"/>
  <c r="D73" i="19"/>
  <c r="C73" i="19"/>
  <c r="B73" i="19"/>
  <c r="A73" i="19"/>
  <c r="L72" i="19"/>
  <c r="K72" i="19"/>
  <c r="H72" i="19"/>
  <c r="G72" i="19"/>
  <c r="F72" i="19"/>
  <c r="E72" i="19"/>
  <c r="D72" i="19"/>
  <c r="C72" i="19"/>
  <c r="B72" i="19"/>
  <c r="A72" i="19"/>
  <c r="L71" i="19"/>
  <c r="K71" i="19"/>
  <c r="H71" i="19"/>
  <c r="G71" i="19"/>
  <c r="F71" i="19"/>
  <c r="E71" i="19"/>
  <c r="D71" i="19"/>
  <c r="C71" i="19"/>
  <c r="B71" i="19"/>
  <c r="A71" i="19"/>
  <c r="L70" i="19"/>
  <c r="K70" i="19"/>
  <c r="H70" i="19"/>
  <c r="G70" i="19"/>
  <c r="F70" i="19"/>
  <c r="E70" i="19"/>
  <c r="D70" i="19"/>
  <c r="C70" i="19"/>
  <c r="B70" i="19"/>
  <c r="A70" i="19"/>
  <c r="L69" i="19"/>
  <c r="K69" i="19"/>
  <c r="H69" i="19"/>
  <c r="G69" i="19"/>
  <c r="F69" i="19"/>
  <c r="E69" i="19"/>
  <c r="D69" i="19"/>
  <c r="C69" i="19"/>
  <c r="B69" i="19"/>
  <c r="A69" i="19"/>
  <c r="L68" i="19"/>
  <c r="K68" i="19"/>
  <c r="H68" i="19"/>
  <c r="G68" i="19"/>
  <c r="F68" i="19"/>
  <c r="E68" i="19"/>
  <c r="D68" i="19"/>
  <c r="C68" i="19"/>
  <c r="B68" i="19"/>
  <c r="A68" i="19"/>
  <c r="L67" i="19"/>
  <c r="K67" i="19"/>
  <c r="H67" i="19"/>
  <c r="G67" i="19"/>
  <c r="F67" i="19"/>
  <c r="E67" i="19"/>
  <c r="D67" i="19"/>
  <c r="C67" i="19"/>
  <c r="B67" i="19"/>
  <c r="A67" i="19"/>
  <c r="L66" i="19"/>
  <c r="K66" i="19"/>
  <c r="H66" i="19"/>
  <c r="G66" i="19"/>
  <c r="F66" i="19"/>
  <c r="E66" i="19"/>
  <c r="D66" i="19"/>
  <c r="C66" i="19"/>
  <c r="B66" i="19"/>
  <c r="A66" i="19"/>
  <c r="L65" i="19"/>
  <c r="K65" i="19"/>
  <c r="H65" i="19"/>
  <c r="G65" i="19"/>
  <c r="F65" i="19"/>
  <c r="E65" i="19"/>
  <c r="D65" i="19"/>
  <c r="C65" i="19"/>
  <c r="B65" i="19"/>
  <c r="A65" i="19"/>
  <c r="L64" i="19"/>
  <c r="K64" i="19"/>
  <c r="H64" i="19"/>
  <c r="G64" i="19"/>
  <c r="F64" i="19"/>
  <c r="E64" i="19"/>
  <c r="D64" i="19"/>
  <c r="C64" i="19"/>
  <c r="B64" i="19"/>
  <c r="A64" i="19"/>
  <c r="L63" i="19"/>
  <c r="K63" i="19"/>
  <c r="H63" i="19"/>
  <c r="G63" i="19"/>
  <c r="F63" i="19"/>
  <c r="E63" i="19"/>
  <c r="D63" i="19"/>
  <c r="C63" i="19"/>
  <c r="B63" i="19"/>
  <c r="A63" i="19"/>
  <c r="L62" i="19"/>
  <c r="K62" i="19"/>
  <c r="H62" i="19"/>
  <c r="G62" i="19"/>
  <c r="F62" i="19"/>
  <c r="E62" i="19"/>
  <c r="D62" i="19"/>
  <c r="C62" i="19"/>
  <c r="B62" i="19"/>
  <c r="A62" i="19"/>
  <c r="L61" i="19"/>
  <c r="K61" i="19"/>
  <c r="H61" i="19"/>
  <c r="G61" i="19"/>
  <c r="F61" i="19"/>
  <c r="E61" i="19"/>
  <c r="D61" i="19"/>
  <c r="C61" i="19"/>
  <c r="B61" i="19"/>
  <c r="A61" i="19"/>
  <c r="L60" i="19"/>
  <c r="K60" i="19"/>
  <c r="H60" i="19"/>
  <c r="G60" i="19"/>
  <c r="F60" i="19"/>
  <c r="E60" i="19"/>
  <c r="D60" i="19"/>
  <c r="C60" i="19"/>
  <c r="B60" i="19"/>
  <c r="A60" i="19"/>
  <c r="L59" i="19"/>
  <c r="K59" i="19"/>
  <c r="H59" i="19"/>
  <c r="G59" i="19"/>
  <c r="F59" i="19"/>
  <c r="E59" i="19"/>
  <c r="D59" i="19"/>
  <c r="C59" i="19"/>
  <c r="B59" i="19"/>
  <c r="A59" i="19"/>
  <c r="L58" i="19"/>
  <c r="K58" i="19"/>
  <c r="H58" i="19"/>
  <c r="G58" i="19"/>
  <c r="F58" i="19"/>
  <c r="E58" i="19"/>
  <c r="D58" i="19"/>
  <c r="C58" i="19"/>
  <c r="B58" i="19"/>
  <c r="A58" i="19"/>
  <c r="L57" i="19"/>
  <c r="K57" i="19"/>
  <c r="H57" i="19"/>
  <c r="G57" i="19"/>
  <c r="F57" i="19"/>
  <c r="E57" i="19"/>
  <c r="D57" i="19"/>
  <c r="C57" i="19"/>
  <c r="B57" i="19"/>
  <c r="A57" i="19"/>
  <c r="L56" i="19"/>
  <c r="K56" i="19"/>
  <c r="H56" i="19"/>
  <c r="G56" i="19"/>
  <c r="F56" i="19"/>
  <c r="E56" i="19"/>
  <c r="D56" i="19"/>
  <c r="C56" i="19"/>
  <c r="B56" i="19"/>
  <c r="A56" i="19"/>
  <c r="L55" i="19"/>
  <c r="K55" i="19"/>
  <c r="H55" i="19"/>
  <c r="G55" i="19"/>
  <c r="F55" i="19"/>
  <c r="E55" i="19"/>
  <c r="D55" i="19"/>
  <c r="C55" i="19"/>
  <c r="B55" i="19"/>
  <c r="A55" i="19"/>
  <c r="L54" i="19"/>
  <c r="K54" i="19"/>
  <c r="H54" i="19"/>
  <c r="G54" i="19"/>
  <c r="F54" i="19"/>
  <c r="E54" i="19"/>
  <c r="D54" i="19"/>
  <c r="C54" i="19"/>
  <c r="B54" i="19"/>
  <c r="A54" i="19"/>
  <c r="L53" i="19"/>
  <c r="K53" i="19"/>
  <c r="H53" i="19"/>
  <c r="G53" i="19"/>
  <c r="F53" i="19"/>
  <c r="E53" i="19"/>
  <c r="D53" i="19"/>
  <c r="C53" i="19"/>
  <c r="B53" i="19"/>
  <c r="A53" i="19"/>
  <c r="L52" i="19"/>
  <c r="K52" i="19"/>
  <c r="H52" i="19"/>
  <c r="G52" i="19"/>
  <c r="F52" i="19"/>
  <c r="E52" i="19"/>
  <c r="D52" i="19"/>
  <c r="C52" i="19"/>
  <c r="B52" i="19"/>
  <c r="A52" i="19"/>
  <c r="L51" i="19"/>
  <c r="K51" i="19"/>
  <c r="H51" i="19"/>
  <c r="G51" i="19"/>
  <c r="F51" i="19"/>
  <c r="E51" i="19"/>
  <c r="D51" i="19"/>
  <c r="C51" i="19"/>
  <c r="B51" i="19"/>
  <c r="A51" i="19"/>
  <c r="L50" i="19"/>
  <c r="K50" i="19"/>
  <c r="H50" i="19"/>
  <c r="G50" i="19"/>
  <c r="F50" i="19"/>
  <c r="E50" i="19"/>
  <c r="D50" i="19"/>
  <c r="C50" i="19"/>
  <c r="B50" i="19"/>
  <c r="A50" i="19"/>
  <c r="L49" i="19"/>
  <c r="K49" i="19"/>
  <c r="H49" i="19"/>
  <c r="G49" i="19"/>
  <c r="F49" i="19"/>
  <c r="E49" i="19"/>
  <c r="D49" i="19"/>
  <c r="C49" i="19"/>
  <c r="B49" i="19"/>
  <c r="A49" i="19"/>
  <c r="L48" i="19"/>
  <c r="K48" i="19"/>
  <c r="H48" i="19"/>
  <c r="G48" i="19"/>
  <c r="F48" i="19"/>
  <c r="E48" i="19"/>
  <c r="D48" i="19"/>
  <c r="C48" i="19"/>
  <c r="B48" i="19"/>
  <c r="A48" i="19"/>
  <c r="L47" i="19"/>
  <c r="K47" i="19"/>
  <c r="H47" i="19"/>
  <c r="G47" i="19"/>
  <c r="F47" i="19"/>
  <c r="E47" i="19"/>
  <c r="D47" i="19"/>
  <c r="C47" i="19"/>
  <c r="B47" i="19"/>
  <c r="A47" i="19"/>
  <c r="L46" i="19"/>
  <c r="K46" i="19"/>
  <c r="H46" i="19"/>
  <c r="G46" i="19"/>
  <c r="F46" i="19"/>
  <c r="E46" i="19"/>
  <c r="D46" i="19"/>
  <c r="C46" i="19"/>
  <c r="B46" i="19"/>
  <c r="A46" i="19"/>
  <c r="L45" i="19"/>
  <c r="K45" i="19"/>
  <c r="H45" i="19"/>
  <c r="G45" i="19"/>
  <c r="F45" i="19"/>
  <c r="E45" i="19"/>
  <c r="D45" i="19"/>
  <c r="C45" i="19"/>
  <c r="B45" i="19"/>
  <c r="A45" i="19"/>
  <c r="L44" i="19"/>
  <c r="K44" i="19"/>
  <c r="H44" i="19"/>
  <c r="G44" i="19"/>
  <c r="F44" i="19"/>
  <c r="E44" i="19"/>
  <c r="D44" i="19"/>
  <c r="C44" i="19"/>
  <c r="B44" i="19"/>
  <c r="A44" i="19"/>
  <c r="L43" i="19"/>
  <c r="K43" i="19"/>
  <c r="H43" i="19"/>
  <c r="G43" i="19"/>
  <c r="F43" i="19"/>
  <c r="E43" i="19"/>
  <c r="D43" i="19"/>
  <c r="C43" i="19"/>
  <c r="B43" i="19"/>
  <c r="A43" i="19"/>
  <c r="L42" i="19"/>
  <c r="K42" i="19"/>
  <c r="H42" i="19"/>
  <c r="G42" i="19"/>
  <c r="F42" i="19"/>
  <c r="E42" i="19"/>
  <c r="D42" i="19"/>
  <c r="C42" i="19"/>
  <c r="B42" i="19"/>
  <c r="A42" i="19"/>
  <c r="L41" i="19"/>
  <c r="K41" i="19"/>
  <c r="H41" i="19"/>
  <c r="G41" i="19"/>
  <c r="F41" i="19"/>
  <c r="E41" i="19"/>
  <c r="D41" i="19"/>
  <c r="C41" i="19"/>
  <c r="B41" i="19"/>
  <c r="A41" i="19"/>
  <c r="L40" i="19"/>
  <c r="K40" i="19"/>
  <c r="H40" i="19"/>
  <c r="G40" i="19"/>
  <c r="F40" i="19"/>
  <c r="E40" i="19"/>
  <c r="D40" i="19"/>
  <c r="C40" i="19"/>
  <c r="B40" i="19"/>
  <c r="A40" i="19"/>
  <c r="L39" i="19"/>
  <c r="K39" i="19"/>
  <c r="H39" i="19"/>
  <c r="G39" i="19"/>
  <c r="F39" i="19"/>
  <c r="E39" i="19"/>
  <c r="D39" i="19"/>
  <c r="C39" i="19"/>
  <c r="B39" i="19"/>
  <c r="A39" i="19"/>
  <c r="L38" i="19"/>
  <c r="K38" i="19"/>
  <c r="H38" i="19"/>
  <c r="G38" i="19"/>
  <c r="F38" i="19"/>
  <c r="E38" i="19"/>
  <c r="D38" i="19"/>
  <c r="C38" i="19"/>
  <c r="B38" i="19"/>
  <c r="A38" i="19"/>
  <c r="L37" i="19"/>
  <c r="K37" i="19"/>
  <c r="H37" i="19"/>
  <c r="G37" i="19"/>
  <c r="F37" i="19"/>
  <c r="E37" i="19"/>
  <c r="D37" i="19"/>
  <c r="C37" i="19"/>
  <c r="B37" i="19"/>
  <c r="A37" i="19"/>
  <c r="L36" i="19"/>
  <c r="K36" i="19"/>
  <c r="H36" i="19"/>
  <c r="G36" i="19"/>
  <c r="F36" i="19"/>
  <c r="E36" i="19"/>
  <c r="D36" i="19"/>
  <c r="C36" i="19"/>
  <c r="B36" i="19"/>
  <c r="A36" i="19"/>
  <c r="L35" i="19"/>
  <c r="K35" i="19"/>
  <c r="H35" i="19"/>
  <c r="G35" i="19"/>
  <c r="F35" i="19"/>
  <c r="E35" i="19"/>
  <c r="D35" i="19"/>
  <c r="C35" i="19"/>
  <c r="B35" i="19"/>
  <c r="A35" i="19"/>
  <c r="L34" i="19"/>
  <c r="K34" i="19"/>
  <c r="H34" i="19"/>
  <c r="G34" i="19"/>
  <c r="F34" i="19"/>
  <c r="E34" i="19"/>
  <c r="D34" i="19"/>
  <c r="C34" i="19"/>
  <c r="B34" i="19"/>
  <c r="A34" i="19"/>
  <c r="L33" i="19"/>
  <c r="K33" i="19"/>
  <c r="H33" i="19"/>
  <c r="G33" i="19"/>
  <c r="F33" i="19"/>
  <c r="E33" i="19"/>
  <c r="D33" i="19"/>
  <c r="C33" i="19"/>
  <c r="B33" i="19"/>
  <c r="A33" i="19"/>
  <c r="L32" i="19"/>
  <c r="K32" i="19"/>
  <c r="H32" i="19"/>
  <c r="G32" i="19"/>
  <c r="F32" i="19"/>
  <c r="E32" i="19"/>
  <c r="D32" i="19"/>
  <c r="C32" i="19"/>
  <c r="B32" i="19"/>
  <c r="A32" i="19"/>
  <c r="L31" i="19"/>
  <c r="K31" i="19"/>
  <c r="H31" i="19"/>
  <c r="G31" i="19"/>
  <c r="F31" i="19"/>
  <c r="E31" i="19"/>
  <c r="D31" i="19"/>
  <c r="C31" i="19"/>
  <c r="B31" i="19"/>
  <c r="A31" i="19"/>
  <c r="L30" i="19"/>
  <c r="K30" i="19"/>
  <c r="H30" i="19"/>
  <c r="G30" i="19"/>
  <c r="F30" i="19"/>
  <c r="E30" i="19"/>
  <c r="D30" i="19"/>
  <c r="C30" i="19"/>
  <c r="B30" i="19"/>
  <c r="A30" i="19"/>
  <c r="L29" i="19"/>
  <c r="K29" i="19"/>
  <c r="H29" i="19"/>
  <c r="G29" i="19"/>
  <c r="F29" i="19"/>
  <c r="E29" i="19"/>
  <c r="D29" i="19"/>
  <c r="C29" i="19"/>
  <c r="B29" i="19"/>
  <c r="A29" i="19"/>
  <c r="L28" i="19"/>
  <c r="K28" i="19"/>
  <c r="H28" i="19"/>
  <c r="G28" i="19"/>
  <c r="F28" i="19"/>
  <c r="E28" i="19"/>
  <c r="D28" i="19"/>
  <c r="C28" i="19"/>
  <c r="B28" i="19"/>
  <c r="A28" i="19"/>
  <c r="L27" i="19"/>
  <c r="K27" i="19"/>
  <c r="H27" i="19"/>
  <c r="G27" i="19"/>
  <c r="F27" i="19"/>
  <c r="E27" i="19"/>
  <c r="D27" i="19"/>
  <c r="C27" i="19"/>
  <c r="B27" i="19"/>
  <c r="A27" i="19"/>
  <c r="L26" i="19"/>
  <c r="K26" i="19"/>
  <c r="H26" i="19"/>
  <c r="G26" i="19"/>
  <c r="F26" i="19"/>
  <c r="E26" i="19"/>
  <c r="D26" i="19"/>
  <c r="C26" i="19"/>
  <c r="B26" i="19"/>
  <c r="A26" i="19"/>
  <c r="L25" i="19"/>
  <c r="K25" i="19"/>
  <c r="H25" i="19"/>
  <c r="G25" i="19"/>
  <c r="F25" i="19"/>
  <c r="E25" i="19"/>
  <c r="D25" i="19"/>
  <c r="C25" i="19"/>
  <c r="B25" i="19"/>
  <c r="A25" i="19"/>
  <c r="L24" i="19"/>
  <c r="K24" i="19"/>
  <c r="H24" i="19"/>
  <c r="G24" i="19"/>
  <c r="F24" i="19"/>
  <c r="E24" i="19"/>
  <c r="D24" i="19"/>
  <c r="C24" i="19"/>
  <c r="B24" i="19"/>
  <c r="A24" i="19"/>
  <c r="L23" i="19"/>
  <c r="K23" i="19"/>
  <c r="H23" i="19"/>
  <c r="G23" i="19"/>
  <c r="F23" i="19"/>
  <c r="E23" i="19"/>
  <c r="D23" i="19"/>
  <c r="C23" i="19"/>
  <c r="B23" i="19"/>
  <c r="A23" i="19"/>
  <c r="L22" i="19"/>
  <c r="K22" i="19"/>
  <c r="H22" i="19"/>
  <c r="G22" i="19"/>
  <c r="F22" i="19"/>
  <c r="E22" i="19"/>
  <c r="D22" i="19"/>
  <c r="C22" i="19"/>
  <c r="B22" i="19"/>
  <c r="A22" i="19"/>
  <c r="L21" i="19"/>
  <c r="K21" i="19"/>
  <c r="H21" i="19"/>
  <c r="G21" i="19"/>
  <c r="F21" i="19"/>
  <c r="E21" i="19"/>
  <c r="D21" i="19"/>
  <c r="C21" i="19"/>
  <c r="B21" i="19"/>
  <c r="A21" i="19"/>
  <c r="L20" i="19"/>
  <c r="K20" i="19"/>
  <c r="H20" i="19"/>
  <c r="G20" i="19"/>
  <c r="F20" i="19"/>
  <c r="E20" i="19"/>
  <c r="D20" i="19"/>
  <c r="C20" i="19"/>
  <c r="B20" i="19"/>
  <c r="A20" i="19"/>
  <c r="L19" i="19"/>
  <c r="K19" i="19"/>
  <c r="H19" i="19"/>
  <c r="G19" i="19"/>
  <c r="F19" i="19"/>
  <c r="E19" i="19"/>
  <c r="D19" i="19"/>
  <c r="C19" i="19"/>
  <c r="B19" i="19"/>
  <c r="A19" i="19"/>
  <c r="L18" i="19"/>
  <c r="K18" i="19"/>
  <c r="H18" i="19"/>
  <c r="G18" i="19"/>
  <c r="F18" i="19"/>
  <c r="E18" i="19"/>
  <c r="D18" i="19"/>
  <c r="C18" i="19"/>
  <c r="B18" i="19"/>
  <c r="A18" i="19"/>
  <c r="L17" i="19"/>
  <c r="K17" i="19"/>
  <c r="H17" i="19"/>
  <c r="G17" i="19"/>
  <c r="F17" i="19"/>
  <c r="E17" i="19"/>
  <c r="D17" i="19"/>
  <c r="C17" i="19"/>
  <c r="B17" i="19"/>
  <c r="A17" i="19"/>
  <c r="L16" i="19"/>
  <c r="K16" i="19"/>
  <c r="H16" i="19"/>
  <c r="G16" i="19"/>
  <c r="F16" i="19"/>
  <c r="E16" i="19"/>
  <c r="D16" i="19"/>
  <c r="C16" i="19"/>
  <c r="B16" i="19"/>
  <c r="A16" i="19"/>
  <c r="L15" i="19"/>
  <c r="K15" i="19"/>
  <c r="H15" i="19"/>
  <c r="G15" i="19"/>
  <c r="F15" i="19"/>
  <c r="E15" i="19"/>
  <c r="D15" i="19"/>
  <c r="C15" i="19"/>
  <c r="B15" i="19"/>
  <c r="A15" i="19"/>
  <c r="L14" i="19"/>
  <c r="K14" i="19"/>
  <c r="H14" i="19"/>
  <c r="G14" i="19"/>
  <c r="F14" i="19"/>
  <c r="E14" i="19"/>
  <c r="D14" i="19"/>
  <c r="C14" i="19"/>
  <c r="B14" i="19"/>
  <c r="A14" i="19"/>
  <c r="L13" i="19"/>
  <c r="K13" i="19"/>
  <c r="H13" i="19"/>
  <c r="G13" i="19"/>
  <c r="F13" i="19"/>
  <c r="E13" i="19"/>
  <c r="D13" i="19"/>
  <c r="C13" i="19"/>
  <c r="B13" i="19"/>
  <c r="A13" i="19"/>
  <c r="L12" i="19"/>
  <c r="K12" i="19"/>
  <c r="H12" i="19"/>
  <c r="G12" i="19"/>
  <c r="F12" i="19"/>
  <c r="E12" i="19"/>
  <c r="D12" i="19"/>
  <c r="C12" i="19"/>
  <c r="B12" i="19"/>
  <c r="A12" i="19"/>
  <c r="L11" i="19"/>
  <c r="K11" i="19"/>
  <c r="H11" i="19"/>
  <c r="G11" i="19"/>
  <c r="F11" i="19"/>
  <c r="E11" i="19"/>
  <c r="D11" i="19"/>
  <c r="C11" i="19"/>
  <c r="B11" i="19"/>
  <c r="A11" i="19"/>
  <c r="L10" i="19"/>
  <c r="K10" i="19"/>
  <c r="H10" i="19"/>
  <c r="G10" i="19"/>
  <c r="F10" i="19"/>
  <c r="E10" i="19"/>
  <c r="D10" i="19"/>
  <c r="C10" i="19"/>
  <c r="B10" i="19"/>
  <c r="A10" i="19"/>
  <c r="L9" i="19"/>
  <c r="K9" i="19"/>
  <c r="H9" i="19"/>
  <c r="G9" i="19"/>
  <c r="F9" i="19"/>
  <c r="E9" i="19"/>
  <c r="D9" i="19"/>
  <c r="C9" i="19"/>
  <c r="B9" i="19"/>
  <c r="A9" i="19"/>
  <c r="L8" i="19"/>
  <c r="K8" i="19"/>
  <c r="H8" i="19"/>
  <c r="G8" i="19"/>
  <c r="F8" i="19"/>
  <c r="E8" i="19"/>
  <c r="D8" i="19"/>
  <c r="C8" i="19"/>
  <c r="B8" i="19"/>
  <c r="A8" i="19"/>
  <c r="K7" i="19"/>
  <c r="H7" i="19"/>
  <c r="G7" i="19"/>
  <c r="F7" i="19"/>
  <c r="E7" i="19"/>
  <c r="D7" i="19"/>
  <c r="C7" i="19"/>
  <c r="B7" i="19"/>
  <c r="A7" i="19"/>
  <c r="J2" i="19"/>
  <c r="D27" i="1" s="1"/>
  <c r="L110" i="18"/>
  <c r="K110" i="18"/>
  <c r="H110" i="18"/>
  <c r="G110" i="18"/>
  <c r="F110" i="18"/>
  <c r="E110" i="18"/>
  <c r="D110" i="18"/>
  <c r="C110" i="18"/>
  <c r="B110" i="18"/>
  <c r="A110" i="18"/>
  <c r="L109" i="18"/>
  <c r="K109" i="18"/>
  <c r="H109" i="18"/>
  <c r="G109" i="18"/>
  <c r="F109" i="18"/>
  <c r="E109" i="18"/>
  <c r="D109" i="18"/>
  <c r="C109" i="18"/>
  <c r="B109" i="18"/>
  <c r="A109" i="18"/>
  <c r="L108" i="18"/>
  <c r="K108" i="18"/>
  <c r="H108" i="18"/>
  <c r="G108" i="18"/>
  <c r="F108" i="18"/>
  <c r="E108" i="18"/>
  <c r="D108" i="18"/>
  <c r="C108" i="18"/>
  <c r="B108" i="18"/>
  <c r="A108" i="18"/>
  <c r="L107" i="18"/>
  <c r="K107" i="18"/>
  <c r="H107" i="18"/>
  <c r="G107" i="18"/>
  <c r="F107" i="18"/>
  <c r="E107" i="18"/>
  <c r="D107" i="18"/>
  <c r="C107" i="18"/>
  <c r="B107" i="18"/>
  <c r="A107" i="18"/>
  <c r="L106" i="18"/>
  <c r="K106" i="18"/>
  <c r="H106" i="18"/>
  <c r="G106" i="18"/>
  <c r="F106" i="18"/>
  <c r="E106" i="18"/>
  <c r="D106" i="18"/>
  <c r="C106" i="18"/>
  <c r="B106" i="18"/>
  <c r="A106" i="18"/>
  <c r="L105" i="18"/>
  <c r="K105" i="18"/>
  <c r="H105" i="18"/>
  <c r="G105" i="18"/>
  <c r="F105" i="18"/>
  <c r="E105" i="18"/>
  <c r="D105" i="18"/>
  <c r="C105" i="18"/>
  <c r="B105" i="18"/>
  <c r="A105" i="18"/>
  <c r="L104" i="18"/>
  <c r="K104" i="18"/>
  <c r="H104" i="18"/>
  <c r="G104" i="18"/>
  <c r="F104" i="18"/>
  <c r="E104" i="18"/>
  <c r="D104" i="18"/>
  <c r="C104" i="18"/>
  <c r="B104" i="18"/>
  <c r="A104" i="18"/>
  <c r="L103" i="18"/>
  <c r="K103" i="18"/>
  <c r="H103" i="18"/>
  <c r="G103" i="18"/>
  <c r="F103" i="18"/>
  <c r="E103" i="18"/>
  <c r="D103" i="18"/>
  <c r="C103" i="18"/>
  <c r="B103" i="18"/>
  <c r="A103" i="18"/>
  <c r="L102" i="18"/>
  <c r="K102" i="18"/>
  <c r="H102" i="18"/>
  <c r="G102" i="18"/>
  <c r="F102" i="18"/>
  <c r="E102" i="18"/>
  <c r="D102" i="18"/>
  <c r="C102" i="18"/>
  <c r="B102" i="18"/>
  <c r="A102" i="18"/>
  <c r="L101" i="18"/>
  <c r="K101" i="18"/>
  <c r="H101" i="18"/>
  <c r="G101" i="18"/>
  <c r="F101" i="18"/>
  <c r="E101" i="18"/>
  <c r="D101" i="18"/>
  <c r="C101" i="18"/>
  <c r="B101" i="18"/>
  <c r="A101" i="18"/>
  <c r="L100" i="18"/>
  <c r="K100" i="18"/>
  <c r="H100" i="18"/>
  <c r="G100" i="18"/>
  <c r="F100" i="18"/>
  <c r="E100" i="18"/>
  <c r="D100" i="18"/>
  <c r="C100" i="18"/>
  <c r="B100" i="18"/>
  <c r="A100" i="18"/>
  <c r="L99" i="18"/>
  <c r="K99" i="18"/>
  <c r="H99" i="18"/>
  <c r="G99" i="18"/>
  <c r="F99" i="18"/>
  <c r="E99" i="18"/>
  <c r="D99" i="18"/>
  <c r="C99" i="18"/>
  <c r="B99" i="18"/>
  <c r="A99" i="18"/>
  <c r="L98" i="18"/>
  <c r="K98" i="18"/>
  <c r="H98" i="18"/>
  <c r="G98" i="18"/>
  <c r="F98" i="18"/>
  <c r="E98" i="18"/>
  <c r="D98" i="18"/>
  <c r="C98" i="18"/>
  <c r="B98" i="18"/>
  <c r="A98" i="18"/>
  <c r="L97" i="18"/>
  <c r="K97" i="18"/>
  <c r="H97" i="18"/>
  <c r="G97" i="18"/>
  <c r="F97" i="18"/>
  <c r="E97" i="18"/>
  <c r="D97" i="18"/>
  <c r="C97" i="18"/>
  <c r="B97" i="18"/>
  <c r="A97" i="18"/>
  <c r="L96" i="18"/>
  <c r="K96" i="18"/>
  <c r="H96" i="18"/>
  <c r="G96" i="18"/>
  <c r="F96" i="18"/>
  <c r="E96" i="18"/>
  <c r="D96" i="18"/>
  <c r="C96" i="18"/>
  <c r="B96" i="18"/>
  <c r="A96" i="18"/>
  <c r="L95" i="18"/>
  <c r="K95" i="18"/>
  <c r="H95" i="18"/>
  <c r="G95" i="18"/>
  <c r="F95" i="18"/>
  <c r="E95" i="18"/>
  <c r="D95" i="18"/>
  <c r="C95" i="18"/>
  <c r="B95" i="18"/>
  <c r="A95" i="18"/>
  <c r="L94" i="18"/>
  <c r="K94" i="18"/>
  <c r="H94" i="18"/>
  <c r="G94" i="18"/>
  <c r="F94" i="18"/>
  <c r="E94" i="18"/>
  <c r="D94" i="18"/>
  <c r="C94" i="18"/>
  <c r="B94" i="18"/>
  <c r="A94" i="18"/>
  <c r="L93" i="18"/>
  <c r="K93" i="18"/>
  <c r="H93" i="18"/>
  <c r="G93" i="18"/>
  <c r="F93" i="18"/>
  <c r="E93" i="18"/>
  <c r="D93" i="18"/>
  <c r="C93" i="18"/>
  <c r="B93" i="18"/>
  <c r="A93" i="18"/>
  <c r="L92" i="18"/>
  <c r="K92" i="18"/>
  <c r="H92" i="18"/>
  <c r="G92" i="18"/>
  <c r="F92" i="18"/>
  <c r="E92" i="18"/>
  <c r="D92" i="18"/>
  <c r="C92" i="18"/>
  <c r="B92" i="18"/>
  <c r="A92" i="18"/>
  <c r="L91" i="18"/>
  <c r="K91" i="18"/>
  <c r="H91" i="18"/>
  <c r="G91" i="18"/>
  <c r="F91" i="18"/>
  <c r="E91" i="18"/>
  <c r="D91" i="18"/>
  <c r="C91" i="18"/>
  <c r="B91" i="18"/>
  <c r="A91" i="18"/>
  <c r="L90" i="18"/>
  <c r="K90" i="18"/>
  <c r="H90" i="18"/>
  <c r="G90" i="18"/>
  <c r="F90" i="18"/>
  <c r="E90" i="18"/>
  <c r="D90" i="18"/>
  <c r="C90" i="18"/>
  <c r="B90" i="18"/>
  <c r="A90" i="18"/>
  <c r="L89" i="18"/>
  <c r="K89" i="18"/>
  <c r="H89" i="18"/>
  <c r="G89" i="18"/>
  <c r="F89" i="18"/>
  <c r="E89" i="18"/>
  <c r="D89" i="18"/>
  <c r="C89" i="18"/>
  <c r="B89" i="18"/>
  <c r="A89" i="18"/>
  <c r="L88" i="18"/>
  <c r="K88" i="18"/>
  <c r="H88" i="18"/>
  <c r="G88" i="18"/>
  <c r="F88" i="18"/>
  <c r="E88" i="18"/>
  <c r="D88" i="18"/>
  <c r="C88" i="18"/>
  <c r="B88" i="18"/>
  <c r="A88" i="18"/>
  <c r="L87" i="18"/>
  <c r="K87" i="18"/>
  <c r="H87" i="18"/>
  <c r="G87" i="18"/>
  <c r="F87" i="18"/>
  <c r="E87" i="18"/>
  <c r="D87" i="18"/>
  <c r="C87" i="18"/>
  <c r="B87" i="18"/>
  <c r="A87" i="18"/>
  <c r="L86" i="18"/>
  <c r="K86" i="18"/>
  <c r="H86" i="18"/>
  <c r="G86" i="18"/>
  <c r="F86" i="18"/>
  <c r="E86" i="18"/>
  <c r="D86" i="18"/>
  <c r="C86" i="18"/>
  <c r="B86" i="18"/>
  <c r="A86" i="18"/>
  <c r="L85" i="18"/>
  <c r="K85" i="18"/>
  <c r="H85" i="18"/>
  <c r="G85" i="18"/>
  <c r="F85" i="18"/>
  <c r="E85" i="18"/>
  <c r="D85" i="18"/>
  <c r="C85" i="18"/>
  <c r="B85" i="18"/>
  <c r="A85" i="18"/>
  <c r="L84" i="18"/>
  <c r="K84" i="18"/>
  <c r="H84" i="18"/>
  <c r="G84" i="18"/>
  <c r="F84" i="18"/>
  <c r="E84" i="18"/>
  <c r="D84" i="18"/>
  <c r="C84" i="18"/>
  <c r="B84" i="18"/>
  <c r="A84" i="18"/>
  <c r="L83" i="18"/>
  <c r="K83" i="18"/>
  <c r="H83" i="18"/>
  <c r="G83" i="18"/>
  <c r="F83" i="18"/>
  <c r="E83" i="18"/>
  <c r="D83" i="18"/>
  <c r="C83" i="18"/>
  <c r="B83" i="18"/>
  <c r="A83" i="18"/>
  <c r="L82" i="18"/>
  <c r="K82" i="18"/>
  <c r="H82" i="18"/>
  <c r="G82" i="18"/>
  <c r="F82" i="18"/>
  <c r="E82" i="18"/>
  <c r="D82" i="18"/>
  <c r="C82" i="18"/>
  <c r="B82" i="18"/>
  <c r="A82" i="18"/>
  <c r="L81" i="18"/>
  <c r="K81" i="18"/>
  <c r="H81" i="18"/>
  <c r="G81" i="18"/>
  <c r="F81" i="18"/>
  <c r="E81" i="18"/>
  <c r="D81" i="18"/>
  <c r="C81" i="18"/>
  <c r="B81" i="18"/>
  <c r="A81" i="18"/>
  <c r="L80" i="18"/>
  <c r="K80" i="18"/>
  <c r="H80" i="18"/>
  <c r="G80" i="18"/>
  <c r="F80" i="18"/>
  <c r="E80" i="18"/>
  <c r="D80" i="18"/>
  <c r="C80" i="18"/>
  <c r="B80" i="18"/>
  <c r="A80" i="18"/>
  <c r="L79" i="18"/>
  <c r="K79" i="18"/>
  <c r="H79" i="18"/>
  <c r="G79" i="18"/>
  <c r="F79" i="18"/>
  <c r="E79" i="18"/>
  <c r="D79" i="18"/>
  <c r="C79" i="18"/>
  <c r="B79" i="18"/>
  <c r="A79" i="18"/>
  <c r="L78" i="18"/>
  <c r="K78" i="18"/>
  <c r="H78" i="18"/>
  <c r="G78" i="18"/>
  <c r="F78" i="18"/>
  <c r="E78" i="18"/>
  <c r="D78" i="18"/>
  <c r="C78" i="18"/>
  <c r="B78" i="18"/>
  <c r="A78" i="18"/>
  <c r="L77" i="18"/>
  <c r="K77" i="18"/>
  <c r="H77" i="18"/>
  <c r="G77" i="18"/>
  <c r="F77" i="18"/>
  <c r="E77" i="18"/>
  <c r="D77" i="18"/>
  <c r="C77" i="18"/>
  <c r="B77" i="18"/>
  <c r="A77" i="18"/>
  <c r="L76" i="18"/>
  <c r="K76" i="18"/>
  <c r="H76" i="18"/>
  <c r="G76" i="18"/>
  <c r="F76" i="18"/>
  <c r="E76" i="18"/>
  <c r="D76" i="18"/>
  <c r="C76" i="18"/>
  <c r="B76" i="18"/>
  <c r="A76" i="18"/>
  <c r="L75" i="18"/>
  <c r="K75" i="18"/>
  <c r="H75" i="18"/>
  <c r="G75" i="18"/>
  <c r="F75" i="18"/>
  <c r="E75" i="18"/>
  <c r="D75" i="18"/>
  <c r="C75" i="18"/>
  <c r="B75" i="18"/>
  <c r="A75" i="18"/>
  <c r="L74" i="18"/>
  <c r="K74" i="18"/>
  <c r="H74" i="18"/>
  <c r="G74" i="18"/>
  <c r="F74" i="18"/>
  <c r="E74" i="18"/>
  <c r="D74" i="18"/>
  <c r="C74" i="18"/>
  <c r="B74" i="18"/>
  <c r="A74" i="18"/>
  <c r="L73" i="18"/>
  <c r="K73" i="18"/>
  <c r="H73" i="18"/>
  <c r="G73" i="18"/>
  <c r="F73" i="18"/>
  <c r="E73" i="18"/>
  <c r="D73" i="18"/>
  <c r="C73" i="18"/>
  <c r="B73" i="18"/>
  <c r="A73" i="18"/>
  <c r="L72" i="18"/>
  <c r="K72" i="18"/>
  <c r="H72" i="18"/>
  <c r="G72" i="18"/>
  <c r="F72" i="18"/>
  <c r="E72" i="18"/>
  <c r="D72" i="18"/>
  <c r="C72" i="18"/>
  <c r="B72" i="18"/>
  <c r="A72" i="18"/>
  <c r="L71" i="18"/>
  <c r="K71" i="18"/>
  <c r="H71" i="18"/>
  <c r="G71" i="18"/>
  <c r="F71" i="18"/>
  <c r="E71" i="18"/>
  <c r="D71" i="18"/>
  <c r="C71" i="18"/>
  <c r="B71" i="18"/>
  <c r="A71" i="18"/>
  <c r="L70" i="18"/>
  <c r="K70" i="18"/>
  <c r="H70" i="18"/>
  <c r="G70" i="18"/>
  <c r="F70" i="18"/>
  <c r="E70" i="18"/>
  <c r="D70" i="18"/>
  <c r="C70" i="18"/>
  <c r="B70" i="18"/>
  <c r="A70" i="18"/>
  <c r="L69" i="18"/>
  <c r="K69" i="18"/>
  <c r="H69" i="18"/>
  <c r="G69" i="18"/>
  <c r="F69" i="18"/>
  <c r="E69" i="18"/>
  <c r="D69" i="18"/>
  <c r="C69" i="18"/>
  <c r="B69" i="18"/>
  <c r="A69" i="18"/>
  <c r="L68" i="18"/>
  <c r="K68" i="18"/>
  <c r="H68" i="18"/>
  <c r="G68" i="18"/>
  <c r="F68" i="18"/>
  <c r="E68" i="18"/>
  <c r="D68" i="18"/>
  <c r="C68" i="18"/>
  <c r="B68" i="18"/>
  <c r="A68" i="18"/>
  <c r="L67" i="18"/>
  <c r="K67" i="18"/>
  <c r="H67" i="18"/>
  <c r="G67" i="18"/>
  <c r="F67" i="18"/>
  <c r="E67" i="18"/>
  <c r="D67" i="18"/>
  <c r="C67" i="18"/>
  <c r="B67" i="18"/>
  <c r="A67" i="18"/>
  <c r="L66" i="18"/>
  <c r="K66" i="18"/>
  <c r="H66" i="18"/>
  <c r="G66" i="18"/>
  <c r="F66" i="18"/>
  <c r="E66" i="18"/>
  <c r="D66" i="18"/>
  <c r="C66" i="18"/>
  <c r="B66" i="18"/>
  <c r="A66" i="18"/>
  <c r="L65" i="18"/>
  <c r="K65" i="18"/>
  <c r="H65" i="18"/>
  <c r="G65" i="18"/>
  <c r="F65" i="18"/>
  <c r="E65" i="18"/>
  <c r="D65" i="18"/>
  <c r="C65" i="18"/>
  <c r="B65" i="18"/>
  <c r="A65" i="18"/>
  <c r="L64" i="18"/>
  <c r="K64" i="18"/>
  <c r="H64" i="18"/>
  <c r="G64" i="18"/>
  <c r="F64" i="18"/>
  <c r="E64" i="18"/>
  <c r="D64" i="18"/>
  <c r="C64" i="18"/>
  <c r="B64" i="18"/>
  <c r="A64" i="18"/>
  <c r="L63" i="18"/>
  <c r="K63" i="18"/>
  <c r="H63" i="18"/>
  <c r="G63" i="18"/>
  <c r="F63" i="18"/>
  <c r="E63" i="18"/>
  <c r="D63" i="18"/>
  <c r="C63" i="18"/>
  <c r="B63" i="18"/>
  <c r="A63" i="18"/>
  <c r="L62" i="18"/>
  <c r="K62" i="18"/>
  <c r="H62" i="18"/>
  <c r="G62" i="18"/>
  <c r="F62" i="18"/>
  <c r="E62" i="18"/>
  <c r="D62" i="18"/>
  <c r="C62" i="18"/>
  <c r="B62" i="18"/>
  <c r="A62" i="18"/>
  <c r="L61" i="18"/>
  <c r="K61" i="18"/>
  <c r="H61" i="18"/>
  <c r="G61" i="18"/>
  <c r="F61" i="18"/>
  <c r="E61" i="18"/>
  <c r="D61" i="18"/>
  <c r="C61" i="18"/>
  <c r="B61" i="18"/>
  <c r="A61" i="18"/>
  <c r="L60" i="18"/>
  <c r="K60" i="18"/>
  <c r="H60" i="18"/>
  <c r="G60" i="18"/>
  <c r="F60" i="18"/>
  <c r="E60" i="18"/>
  <c r="D60" i="18"/>
  <c r="C60" i="18"/>
  <c r="B60" i="18"/>
  <c r="A60" i="18"/>
  <c r="L59" i="18"/>
  <c r="K59" i="18"/>
  <c r="H59" i="18"/>
  <c r="G59" i="18"/>
  <c r="F59" i="18"/>
  <c r="E59" i="18"/>
  <c r="D59" i="18"/>
  <c r="C59" i="18"/>
  <c r="B59" i="18"/>
  <c r="A59" i="18"/>
  <c r="L58" i="18"/>
  <c r="K58" i="18"/>
  <c r="H58" i="18"/>
  <c r="G58" i="18"/>
  <c r="F58" i="18"/>
  <c r="E58" i="18"/>
  <c r="D58" i="18"/>
  <c r="C58" i="18"/>
  <c r="B58" i="18"/>
  <c r="A58" i="18"/>
  <c r="L57" i="18"/>
  <c r="K57" i="18"/>
  <c r="H57" i="18"/>
  <c r="G57" i="18"/>
  <c r="F57" i="18"/>
  <c r="E57" i="18"/>
  <c r="D57" i="18"/>
  <c r="C57" i="18"/>
  <c r="B57" i="18"/>
  <c r="A57" i="18"/>
  <c r="L56" i="18"/>
  <c r="K56" i="18"/>
  <c r="H56" i="18"/>
  <c r="G56" i="18"/>
  <c r="F56" i="18"/>
  <c r="E56" i="18"/>
  <c r="D56" i="18"/>
  <c r="C56" i="18"/>
  <c r="B56" i="18"/>
  <c r="A56" i="18"/>
  <c r="L55" i="18"/>
  <c r="K55" i="18"/>
  <c r="H55" i="18"/>
  <c r="G55" i="18"/>
  <c r="F55" i="18"/>
  <c r="E55" i="18"/>
  <c r="D55" i="18"/>
  <c r="C55" i="18"/>
  <c r="B55" i="18"/>
  <c r="A55" i="18"/>
  <c r="L54" i="18"/>
  <c r="K54" i="18"/>
  <c r="H54" i="18"/>
  <c r="G54" i="18"/>
  <c r="F54" i="18"/>
  <c r="E54" i="18"/>
  <c r="D54" i="18"/>
  <c r="C54" i="18"/>
  <c r="B54" i="18"/>
  <c r="A54" i="18"/>
  <c r="L53" i="18"/>
  <c r="K53" i="18"/>
  <c r="H53" i="18"/>
  <c r="G53" i="18"/>
  <c r="F53" i="18"/>
  <c r="E53" i="18"/>
  <c r="D53" i="18"/>
  <c r="C53" i="18"/>
  <c r="B53" i="18"/>
  <c r="A53" i="18"/>
  <c r="L52" i="18"/>
  <c r="K52" i="18"/>
  <c r="H52" i="18"/>
  <c r="G52" i="18"/>
  <c r="F52" i="18"/>
  <c r="E52" i="18"/>
  <c r="D52" i="18"/>
  <c r="C52" i="18"/>
  <c r="B52" i="18"/>
  <c r="A52" i="18"/>
  <c r="L51" i="18"/>
  <c r="K51" i="18"/>
  <c r="H51" i="18"/>
  <c r="G51" i="18"/>
  <c r="F51" i="18"/>
  <c r="E51" i="18"/>
  <c r="D51" i="18"/>
  <c r="C51" i="18"/>
  <c r="B51" i="18"/>
  <c r="A51" i="18"/>
  <c r="L50" i="18"/>
  <c r="K50" i="18"/>
  <c r="H50" i="18"/>
  <c r="G50" i="18"/>
  <c r="F50" i="18"/>
  <c r="E50" i="18"/>
  <c r="D50" i="18"/>
  <c r="C50" i="18"/>
  <c r="B50" i="18"/>
  <c r="A50" i="18"/>
  <c r="L49" i="18"/>
  <c r="K49" i="18"/>
  <c r="H49" i="18"/>
  <c r="G49" i="18"/>
  <c r="F49" i="18"/>
  <c r="E49" i="18"/>
  <c r="D49" i="18"/>
  <c r="C49" i="18"/>
  <c r="B49" i="18"/>
  <c r="A49" i="18"/>
  <c r="L48" i="18"/>
  <c r="K48" i="18"/>
  <c r="H48" i="18"/>
  <c r="G48" i="18"/>
  <c r="F48" i="18"/>
  <c r="E48" i="18"/>
  <c r="D48" i="18"/>
  <c r="C48" i="18"/>
  <c r="B48" i="18"/>
  <c r="A48" i="18"/>
  <c r="L47" i="18"/>
  <c r="K47" i="18"/>
  <c r="H47" i="18"/>
  <c r="G47" i="18"/>
  <c r="F47" i="18"/>
  <c r="E47" i="18"/>
  <c r="D47" i="18"/>
  <c r="C47" i="18"/>
  <c r="B47" i="18"/>
  <c r="A47" i="18"/>
  <c r="L46" i="18"/>
  <c r="K46" i="18"/>
  <c r="H46" i="18"/>
  <c r="G46" i="18"/>
  <c r="F46" i="18"/>
  <c r="E46" i="18"/>
  <c r="D46" i="18"/>
  <c r="C46" i="18"/>
  <c r="B46" i="18"/>
  <c r="A46" i="18"/>
  <c r="L45" i="18"/>
  <c r="K45" i="18"/>
  <c r="H45" i="18"/>
  <c r="G45" i="18"/>
  <c r="F45" i="18"/>
  <c r="E45" i="18"/>
  <c r="D45" i="18"/>
  <c r="C45" i="18"/>
  <c r="B45" i="18"/>
  <c r="A45" i="18"/>
  <c r="L44" i="18"/>
  <c r="K44" i="18"/>
  <c r="H44" i="18"/>
  <c r="G44" i="18"/>
  <c r="F44" i="18"/>
  <c r="E44" i="18"/>
  <c r="D44" i="18"/>
  <c r="C44" i="18"/>
  <c r="B44" i="18"/>
  <c r="A44" i="18"/>
  <c r="L43" i="18"/>
  <c r="K43" i="18"/>
  <c r="H43" i="18"/>
  <c r="G43" i="18"/>
  <c r="F43" i="18"/>
  <c r="E43" i="18"/>
  <c r="D43" i="18"/>
  <c r="C43" i="18"/>
  <c r="B43" i="18"/>
  <c r="A43" i="18"/>
  <c r="L42" i="18"/>
  <c r="K42" i="18"/>
  <c r="H42" i="18"/>
  <c r="G42" i="18"/>
  <c r="F42" i="18"/>
  <c r="E42" i="18"/>
  <c r="D42" i="18"/>
  <c r="C42" i="18"/>
  <c r="B42" i="18"/>
  <c r="A42" i="18"/>
  <c r="L41" i="18"/>
  <c r="K41" i="18"/>
  <c r="H41" i="18"/>
  <c r="G41" i="18"/>
  <c r="F41" i="18"/>
  <c r="E41" i="18"/>
  <c r="D41" i="18"/>
  <c r="C41" i="18"/>
  <c r="B41" i="18"/>
  <c r="A41" i="18"/>
  <c r="L40" i="18"/>
  <c r="K40" i="18"/>
  <c r="H40" i="18"/>
  <c r="G40" i="18"/>
  <c r="F40" i="18"/>
  <c r="E40" i="18"/>
  <c r="D40" i="18"/>
  <c r="C40" i="18"/>
  <c r="B40" i="18"/>
  <c r="A40" i="18"/>
  <c r="L39" i="18"/>
  <c r="K39" i="18"/>
  <c r="H39" i="18"/>
  <c r="G39" i="18"/>
  <c r="F39" i="18"/>
  <c r="E39" i="18"/>
  <c r="D39" i="18"/>
  <c r="C39" i="18"/>
  <c r="B39" i="18"/>
  <c r="A39" i="18"/>
  <c r="L38" i="18"/>
  <c r="K38" i="18"/>
  <c r="H38" i="18"/>
  <c r="G38" i="18"/>
  <c r="F38" i="18"/>
  <c r="E38" i="18"/>
  <c r="D38" i="18"/>
  <c r="C38" i="18"/>
  <c r="B38" i="18"/>
  <c r="A38" i="18"/>
  <c r="L37" i="18"/>
  <c r="K37" i="18"/>
  <c r="H37" i="18"/>
  <c r="G37" i="18"/>
  <c r="F37" i="18"/>
  <c r="E37" i="18"/>
  <c r="D37" i="18"/>
  <c r="C37" i="18"/>
  <c r="B37" i="18"/>
  <c r="A37" i="18"/>
  <c r="L36" i="18"/>
  <c r="K36" i="18"/>
  <c r="H36" i="18"/>
  <c r="G36" i="18"/>
  <c r="F36" i="18"/>
  <c r="E36" i="18"/>
  <c r="D36" i="18"/>
  <c r="C36" i="18"/>
  <c r="B36" i="18"/>
  <c r="A36" i="18"/>
  <c r="L35" i="18"/>
  <c r="K35" i="18"/>
  <c r="H35" i="18"/>
  <c r="G35" i="18"/>
  <c r="F35" i="18"/>
  <c r="E35" i="18"/>
  <c r="D35" i="18"/>
  <c r="C35" i="18"/>
  <c r="B35" i="18"/>
  <c r="A35" i="18"/>
  <c r="L34" i="18"/>
  <c r="K34" i="18"/>
  <c r="H34" i="18"/>
  <c r="G34" i="18"/>
  <c r="F34" i="18"/>
  <c r="E34" i="18"/>
  <c r="D34" i="18"/>
  <c r="C34" i="18"/>
  <c r="B34" i="18"/>
  <c r="A34" i="18"/>
  <c r="L33" i="18"/>
  <c r="K33" i="18"/>
  <c r="H33" i="18"/>
  <c r="G33" i="18"/>
  <c r="F33" i="18"/>
  <c r="E33" i="18"/>
  <c r="D33" i="18"/>
  <c r="C33" i="18"/>
  <c r="B33" i="18"/>
  <c r="A33" i="18"/>
  <c r="L32" i="18"/>
  <c r="K32" i="18"/>
  <c r="H32" i="18"/>
  <c r="G32" i="18"/>
  <c r="F32" i="18"/>
  <c r="E32" i="18"/>
  <c r="D32" i="18"/>
  <c r="C32" i="18"/>
  <c r="B32" i="18"/>
  <c r="A32" i="18"/>
  <c r="L31" i="18"/>
  <c r="K31" i="18"/>
  <c r="H31" i="18"/>
  <c r="G31" i="18"/>
  <c r="F31" i="18"/>
  <c r="E31" i="18"/>
  <c r="D31" i="18"/>
  <c r="C31" i="18"/>
  <c r="B31" i="18"/>
  <c r="A31" i="18"/>
  <c r="L30" i="18"/>
  <c r="K30" i="18"/>
  <c r="H30" i="18"/>
  <c r="G30" i="18"/>
  <c r="F30" i="18"/>
  <c r="E30" i="18"/>
  <c r="D30" i="18"/>
  <c r="C30" i="18"/>
  <c r="B30" i="18"/>
  <c r="A30" i="18"/>
  <c r="L29" i="18"/>
  <c r="K29" i="18"/>
  <c r="H29" i="18"/>
  <c r="G29" i="18"/>
  <c r="F29" i="18"/>
  <c r="E29" i="18"/>
  <c r="D29" i="18"/>
  <c r="C29" i="18"/>
  <c r="B29" i="18"/>
  <c r="A29" i="18"/>
  <c r="L28" i="18"/>
  <c r="K28" i="18"/>
  <c r="H28" i="18"/>
  <c r="G28" i="18"/>
  <c r="F28" i="18"/>
  <c r="E28" i="18"/>
  <c r="D28" i="18"/>
  <c r="C28" i="18"/>
  <c r="B28" i="18"/>
  <c r="A28" i="18"/>
  <c r="L27" i="18"/>
  <c r="K27" i="18"/>
  <c r="H27" i="18"/>
  <c r="G27" i="18"/>
  <c r="F27" i="18"/>
  <c r="E27" i="18"/>
  <c r="D27" i="18"/>
  <c r="C27" i="18"/>
  <c r="B27" i="18"/>
  <c r="A27" i="18"/>
  <c r="L26" i="18"/>
  <c r="K26" i="18"/>
  <c r="H26" i="18"/>
  <c r="G26" i="18"/>
  <c r="F26" i="18"/>
  <c r="E26" i="18"/>
  <c r="D26" i="18"/>
  <c r="C26" i="18"/>
  <c r="B26" i="18"/>
  <c r="A26" i="18"/>
  <c r="L25" i="18"/>
  <c r="K25" i="18"/>
  <c r="H25" i="18"/>
  <c r="G25" i="18"/>
  <c r="F25" i="18"/>
  <c r="E25" i="18"/>
  <c r="D25" i="18"/>
  <c r="C25" i="18"/>
  <c r="B25" i="18"/>
  <c r="A25" i="18"/>
  <c r="L24" i="18"/>
  <c r="K24" i="18"/>
  <c r="H24" i="18"/>
  <c r="G24" i="18"/>
  <c r="F24" i="18"/>
  <c r="E24" i="18"/>
  <c r="D24" i="18"/>
  <c r="C24" i="18"/>
  <c r="B24" i="18"/>
  <c r="A24" i="18"/>
  <c r="L23" i="18"/>
  <c r="K23" i="18"/>
  <c r="H23" i="18"/>
  <c r="G23" i="18"/>
  <c r="F23" i="18"/>
  <c r="E23" i="18"/>
  <c r="D23" i="18"/>
  <c r="C23" i="18"/>
  <c r="B23" i="18"/>
  <c r="A23" i="18"/>
  <c r="L22" i="18"/>
  <c r="K22" i="18"/>
  <c r="H22" i="18"/>
  <c r="G22" i="18"/>
  <c r="F22" i="18"/>
  <c r="E22" i="18"/>
  <c r="D22" i="18"/>
  <c r="C22" i="18"/>
  <c r="B22" i="18"/>
  <c r="A22" i="18"/>
  <c r="L21" i="18"/>
  <c r="K21" i="18"/>
  <c r="H21" i="18"/>
  <c r="G21" i="18"/>
  <c r="F21" i="18"/>
  <c r="E21" i="18"/>
  <c r="D21" i="18"/>
  <c r="C21" i="18"/>
  <c r="B21" i="18"/>
  <c r="A21" i="18"/>
  <c r="L20" i="18"/>
  <c r="K20" i="18"/>
  <c r="H20" i="18"/>
  <c r="G20" i="18"/>
  <c r="F20" i="18"/>
  <c r="E20" i="18"/>
  <c r="D20" i="18"/>
  <c r="C20" i="18"/>
  <c r="B20" i="18"/>
  <c r="A20" i="18"/>
  <c r="L19" i="18"/>
  <c r="K19" i="18"/>
  <c r="H19" i="18"/>
  <c r="G19" i="18"/>
  <c r="F19" i="18"/>
  <c r="E19" i="18"/>
  <c r="D19" i="18"/>
  <c r="C19" i="18"/>
  <c r="B19" i="18"/>
  <c r="A19" i="18"/>
  <c r="L18" i="18"/>
  <c r="K18" i="18"/>
  <c r="H18" i="18"/>
  <c r="G18" i="18"/>
  <c r="F18" i="18"/>
  <c r="E18" i="18"/>
  <c r="D18" i="18"/>
  <c r="C18" i="18"/>
  <c r="B18" i="18"/>
  <c r="A18" i="18"/>
  <c r="L17" i="18"/>
  <c r="K17" i="18"/>
  <c r="H17" i="18"/>
  <c r="G17" i="18"/>
  <c r="F17" i="18"/>
  <c r="E17" i="18"/>
  <c r="D17" i="18"/>
  <c r="C17" i="18"/>
  <c r="B17" i="18"/>
  <c r="A17" i="18"/>
  <c r="L16" i="18"/>
  <c r="K16" i="18"/>
  <c r="H16" i="18"/>
  <c r="G16" i="18"/>
  <c r="F16" i="18"/>
  <c r="E16" i="18"/>
  <c r="D16" i="18"/>
  <c r="C16" i="18"/>
  <c r="B16" i="18"/>
  <c r="A16" i="18"/>
  <c r="L15" i="18"/>
  <c r="K15" i="18"/>
  <c r="H15" i="18"/>
  <c r="G15" i="18"/>
  <c r="F15" i="18"/>
  <c r="E15" i="18"/>
  <c r="D15" i="18"/>
  <c r="C15" i="18"/>
  <c r="B15" i="18"/>
  <c r="A15" i="18"/>
  <c r="L14" i="18"/>
  <c r="K14" i="18"/>
  <c r="H14" i="18"/>
  <c r="G14" i="18"/>
  <c r="F14" i="18"/>
  <c r="E14" i="18"/>
  <c r="D14" i="18"/>
  <c r="C14" i="18"/>
  <c r="B14" i="18"/>
  <c r="A14" i="18"/>
  <c r="L13" i="18"/>
  <c r="K13" i="18"/>
  <c r="H13" i="18"/>
  <c r="G13" i="18"/>
  <c r="F13" i="18"/>
  <c r="E13" i="18"/>
  <c r="D13" i="18"/>
  <c r="C13" i="18"/>
  <c r="B13" i="18"/>
  <c r="A13" i="18"/>
  <c r="L12" i="18"/>
  <c r="K12" i="18"/>
  <c r="H12" i="18"/>
  <c r="G12" i="18"/>
  <c r="F12" i="18"/>
  <c r="E12" i="18"/>
  <c r="D12" i="18"/>
  <c r="C12" i="18"/>
  <c r="B12" i="18"/>
  <c r="A12" i="18"/>
  <c r="L11" i="18"/>
  <c r="K11" i="18"/>
  <c r="H11" i="18"/>
  <c r="G11" i="18"/>
  <c r="F11" i="18"/>
  <c r="E11" i="18"/>
  <c r="D11" i="18"/>
  <c r="C11" i="18"/>
  <c r="B11" i="18"/>
  <c r="A11" i="18"/>
  <c r="L10" i="18"/>
  <c r="K10" i="18"/>
  <c r="H10" i="18"/>
  <c r="G10" i="18"/>
  <c r="F10" i="18"/>
  <c r="E10" i="18"/>
  <c r="D10" i="18"/>
  <c r="C10" i="18"/>
  <c r="B10" i="18"/>
  <c r="A10" i="18"/>
  <c r="L9" i="18"/>
  <c r="K9" i="18"/>
  <c r="H9" i="18"/>
  <c r="G9" i="18"/>
  <c r="F9" i="18"/>
  <c r="E9" i="18"/>
  <c r="D9" i="18"/>
  <c r="C9" i="18"/>
  <c r="B9" i="18"/>
  <c r="A9" i="18"/>
  <c r="L8" i="18"/>
  <c r="K8" i="18"/>
  <c r="H8" i="18"/>
  <c r="G8" i="18"/>
  <c r="F8" i="18"/>
  <c r="E8" i="18"/>
  <c r="D8" i="18"/>
  <c r="C8" i="18"/>
  <c r="B8" i="18"/>
  <c r="A8" i="18"/>
  <c r="K7" i="18"/>
  <c r="H7" i="18"/>
  <c r="G7" i="18"/>
  <c r="F7" i="18"/>
  <c r="E7" i="18"/>
  <c r="D7" i="18"/>
  <c r="C7" i="18"/>
  <c r="B7" i="18"/>
  <c r="A7" i="18"/>
  <c r="J2" i="18"/>
  <c r="D26" i="1" s="1"/>
  <c r="L110" i="17"/>
  <c r="K110" i="17"/>
  <c r="H110" i="17"/>
  <c r="G110" i="17"/>
  <c r="F110" i="17"/>
  <c r="E110" i="17"/>
  <c r="D110" i="17"/>
  <c r="C110" i="17"/>
  <c r="B110" i="17"/>
  <c r="A110" i="17"/>
  <c r="L109" i="17"/>
  <c r="K109" i="17"/>
  <c r="H109" i="17"/>
  <c r="G109" i="17"/>
  <c r="F109" i="17"/>
  <c r="E109" i="17"/>
  <c r="D109" i="17"/>
  <c r="C109" i="17"/>
  <c r="B109" i="17"/>
  <c r="A109" i="17"/>
  <c r="L108" i="17"/>
  <c r="K108" i="17"/>
  <c r="H108" i="17"/>
  <c r="G108" i="17"/>
  <c r="F108" i="17"/>
  <c r="E108" i="17"/>
  <c r="D108" i="17"/>
  <c r="C108" i="17"/>
  <c r="B108" i="17"/>
  <c r="A108" i="17"/>
  <c r="L107" i="17"/>
  <c r="K107" i="17"/>
  <c r="H107" i="17"/>
  <c r="G107" i="17"/>
  <c r="F107" i="17"/>
  <c r="E107" i="17"/>
  <c r="D107" i="17"/>
  <c r="C107" i="17"/>
  <c r="B107" i="17"/>
  <c r="A107" i="17"/>
  <c r="L106" i="17"/>
  <c r="K106" i="17"/>
  <c r="H106" i="17"/>
  <c r="G106" i="17"/>
  <c r="F106" i="17"/>
  <c r="E106" i="17"/>
  <c r="D106" i="17"/>
  <c r="C106" i="17"/>
  <c r="B106" i="17"/>
  <c r="A106" i="17"/>
  <c r="L105" i="17"/>
  <c r="K105" i="17"/>
  <c r="H105" i="17"/>
  <c r="G105" i="17"/>
  <c r="F105" i="17"/>
  <c r="E105" i="17"/>
  <c r="D105" i="17"/>
  <c r="C105" i="17"/>
  <c r="B105" i="17"/>
  <c r="A105" i="17"/>
  <c r="L104" i="17"/>
  <c r="K104" i="17"/>
  <c r="H104" i="17"/>
  <c r="G104" i="17"/>
  <c r="F104" i="17"/>
  <c r="E104" i="17"/>
  <c r="D104" i="17"/>
  <c r="C104" i="17"/>
  <c r="B104" i="17"/>
  <c r="A104" i="17"/>
  <c r="L103" i="17"/>
  <c r="K103" i="17"/>
  <c r="H103" i="17"/>
  <c r="G103" i="17"/>
  <c r="F103" i="17"/>
  <c r="E103" i="17"/>
  <c r="D103" i="17"/>
  <c r="C103" i="17"/>
  <c r="B103" i="17"/>
  <c r="A103" i="17"/>
  <c r="L102" i="17"/>
  <c r="K102" i="17"/>
  <c r="H102" i="17"/>
  <c r="G102" i="17"/>
  <c r="F102" i="17"/>
  <c r="E102" i="17"/>
  <c r="D102" i="17"/>
  <c r="C102" i="17"/>
  <c r="B102" i="17"/>
  <c r="A102" i="17"/>
  <c r="L101" i="17"/>
  <c r="K101" i="17"/>
  <c r="H101" i="17"/>
  <c r="G101" i="17"/>
  <c r="F101" i="17"/>
  <c r="E101" i="17"/>
  <c r="D101" i="17"/>
  <c r="C101" i="17"/>
  <c r="B101" i="17"/>
  <c r="A101" i="17"/>
  <c r="L100" i="17"/>
  <c r="K100" i="17"/>
  <c r="H100" i="17"/>
  <c r="G100" i="17"/>
  <c r="F100" i="17"/>
  <c r="E100" i="17"/>
  <c r="D100" i="17"/>
  <c r="C100" i="17"/>
  <c r="B100" i="17"/>
  <c r="A100" i="17"/>
  <c r="L99" i="17"/>
  <c r="K99" i="17"/>
  <c r="H99" i="17"/>
  <c r="G99" i="17"/>
  <c r="F99" i="17"/>
  <c r="E99" i="17"/>
  <c r="D99" i="17"/>
  <c r="C99" i="17"/>
  <c r="B99" i="17"/>
  <c r="A99" i="17"/>
  <c r="L98" i="17"/>
  <c r="K98" i="17"/>
  <c r="H98" i="17"/>
  <c r="G98" i="17"/>
  <c r="F98" i="17"/>
  <c r="E98" i="17"/>
  <c r="D98" i="17"/>
  <c r="C98" i="17"/>
  <c r="B98" i="17"/>
  <c r="A98" i="17"/>
  <c r="L97" i="17"/>
  <c r="K97" i="17"/>
  <c r="H97" i="17"/>
  <c r="G97" i="17"/>
  <c r="F97" i="17"/>
  <c r="E97" i="17"/>
  <c r="D97" i="17"/>
  <c r="C97" i="17"/>
  <c r="B97" i="17"/>
  <c r="A97" i="17"/>
  <c r="L96" i="17"/>
  <c r="K96" i="17"/>
  <c r="H96" i="17"/>
  <c r="G96" i="17"/>
  <c r="F96" i="17"/>
  <c r="E96" i="17"/>
  <c r="D96" i="17"/>
  <c r="C96" i="17"/>
  <c r="B96" i="17"/>
  <c r="A96" i="17"/>
  <c r="L95" i="17"/>
  <c r="K95" i="17"/>
  <c r="H95" i="17"/>
  <c r="G95" i="17"/>
  <c r="F95" i="17"/>
  <c r="E95" i="17"/>
  <c r="D95" i="17"/>
  <c r="C95" i="17"/>
  <c r="B95" i="17"/>
  <c r="A95" i="17"/>
  <c r="L94" i="17"/>
  <c r="K94" i="17"/>
  <c r="H94" i="17"/>
  <c r="G94" i="17"/>
  <c r="F94" i="17"/>
  <c r="E94" i="17"/>
  <c r="D94" i="17"/>
  <c r="C94" i="17"/>
  <c r="B94" i="17"/>
  <c r="A94" i="17"/>
  <c r="L93" i="17"/>
  <c r="K93" i="17"/>
  <c r="H93" i="17"/>
  <c r="G93" i="17"/>
  <c r="F93" i="17"/>
  <c r="E93" i="17"/>
  <c r="D93" i="17"/>
  <c r="C93" i="17"/>
  <c r="B93" i="17"/>
  <c r="A93" i="17"/>
  <c r="L92" i="17"/>
  <c r="K92" i="17"/>
  <c r="H92" i="17"/>
  <c r="G92" i="17"/>
  <c r="F92" i="17"/>
  <c r="E92" i="17"/>
  <c r="D92" i="17"/>
  <c r="C92" i="17"/>
  <c r="B92" i="17"/>
  <c r="A92" i="17"/>
  <c r="L91" i="17"/>
  <c r="K91" i="17"/>
  <c r="H91" i="17"/>
  <c r="G91" i="17"/>
  <c r="F91" i="17"/>
  <c r="E91" i="17"/>
  <c r="D91" i="17"/>
  <c r="C91" i="17"/>
  <c r="B91" i="17"/>
  <c r="A91" i="17"/>
  <c r="L90" i="17"/>
  <c r="K90" i="17"/>
  <c r="H90" i="17"/>
  <c r="G90" i="17"/>
  <c r="F90" i="17"/>
  <c r="E90" i="17"/>
  <c r="D90" i="17"/>
  <c r="C90" i="17"/>
  <c r="B90" i="17"/>
  <c r="A90" i="17"/>
  <c r="L89" i="17"/>
  <c r="K89" i="17"/>
  <c r="H89" i="17"/>
  <c r="G89" i="17"/>
  <c r="F89" i="17"/>
  <c r="E89" i="17"/>
  <c r="D89" i="17"/>
  <c r="C89" i="17"/>
  <c r="B89" i="17"/>
  <c r="A89" i="17"/>
  <c r="L88" i="17"/>
  <c r="K88" i="17"/>
  <c r="H88" i="17"/>
  <c r="G88" i="17"/>
  <c r="F88" i="17"/>
  <c r="E88" i="17"/>
  <c r="D88" i="17"/>
  <c r="C88" i="17"/>
  <c r="B88" i="17"/>
  <c r="A88" i="17"/>
  <c r="L87" i="17"/>
  <c r="K87" i="17"/>
  <c r="H87" i="17"/>
  <c r="G87" i="17"/>
  <c r="F87" i="17"/>
  <c r="E87" i="17"/>
  <c r="D87" i="17"/>
  <c r="C87" i="17"/>
  <c r="B87" i="17"/>
  <c r="A87" i="17"/>
  <c r="L86" i="17"/>
  <c r="K86" i="17"/>
  <c r="H86" i="17"/>
  <c r="G86" i="17"/>
  <c r="F86" i="17"/>
  <c r="E86" i="17"/>
  <c r="D86" i="17"/>
  <c r="C86" i="17"/>
  <c r="B86" i="17"/>
  <c r="A86" i="17"/>
  <c r="L85" i="17"/>
  <c r="K85" i="17"/>
  <c r="H85" i="17"/>
  <c r="G85" i="17"/>
  <c r="F85" i="17"/>
  <c r="E85" i="17"/>
  <c r="D85" i="17"/>
  <c r="C85" i="17"/>
  <c r="B85" i="17"/>
  <c r="A85" i="17"/>
  <c r="L84" i="17"/>
  <c r="K84" i="17"/>
  <c r="H84" i="17"/>
  <c r="G84" i="17"/>
  <c r="F84" i="17"/>
  <c r="E84" i="17"/>
  <c r="D84" i="17"/>
  <c r="C84" i="17"/>
  <c r="B84" i="17"/>
  <c r="A84" i="17"/>
  <c r="L83" i="17"/>
  <c r="K83" i="17"/>
  <c r="H83" i="17"/>
  <c r="G83" i="17"/>
  <c r="F83" i="17"/>
  <c r="E83" i="17"/>
  <c r="D83" i="17"/>
  <c r="C83" i="17"/>
  <c r="B83" i="17"/>
  <c r="A83" i="17"/>
  <c r="L82" i="17"/>
  <c r="K82" i="17"/>
  <c r="H82" i="17"/>
  <c r="G82" i="17"/>
  <c r="F82" i="17"/>
  <c r="E82" i="17"/>
  <c r="D82" i="17"/>
  <c r="C82" i="17"/>
  <c r="B82" i="17"/>
  <c r="A82" i="17"/>
  <c r="L81" i="17"/>
  <c r="K81" i="17"/>
  <c r="H81" i="17"/>
  <c r="G81" i="17"/>
  <c r="F81" i="17"/>
  <c r="E81" i="17"/>
  <c r="D81" i="17"/>
  <c r="C81" i="17"/>
  <c r="B81" i="17"/>
  <c r="A81" i="17"/>
  <c r="L80" i="17"/>
  <c r="K80" i="17"/>
  <c r="H80" i="17"/>
  <c r="G80" i="17"/>
  <c r="F80" i="17"/>
  <c r="E80" i="17"/>
  <c r="D80" i="17"/>
  <c r="C80" i="17"/>
  <c r="B80" i="17"/>
  <c r="A80" i="17"/>
  <c r="L79" i="17"/>
  <c r="K79" i="17"/>
  <c r="H79" i="17"/>
  <c r="G79" i="17"/>
  <c r="F79" i="17"/>
  <c r="E79" i="17"/>
  <c r="D79" i="17"/>
  <c r="C79" i="17"/>
  <c r="B79" i="17"/>
  <c r="A79" i="17"/>
  <c r="L78" i="17"/>
  <c r="K78" i="17"/>
  <c r="H78" i="17"/>
  <c r="G78" i="17"/>
  <c r="F78" i="17"/>
  <c r="E78" i="17"/>
  <c r="D78" i="17"/>
  <c r="C78" i="17"/>
  <c r="B78" i="17"/>
  <c r="A78" i="17"/>
  <c r="L77" i="17"/>
  <c r="K77" i="17"/>
  <c r="H77" i="17"/>
  <c r="G77" i="17"/>
  <c r="F77" i="17"/>
  <c r="E77" i="17"/>
  <c r="D77" i="17"/>
  <c r="C77" i="17"/>
  <c r="B77" i="17"/>
  <c r="A77" i="17"/>
  <c r="L76" i="17"/>
  <c r="K76" i="17"/>
  <c r="H76" i="17"/>
  <c r="G76" i="17"/>
  <c r="F76" i="17"/>
  <c r="E76" i="17"/>
  <c r="D76" i="17"/>
  <c r="C76" i="17"/>
  <c r="B76" i="17"/>
  <c r="A76" i="17"/>
  <c r="L75" i="17"/>
  <c r="K75" i="17"/>
  <c r="H75" i="17"/>
  <c r="G75" i="17"/>
  <c r="F75" i="17"/>
  <c r="E75" i="17"/>
  <c r="D75" i="17"/>
  <c r="C75" i="17"/>
  <c r="B75" i="17"/>
  <c r="A75" i="17"/>
  <c r="L74" i="17"/>
  <c r="K74" i="17"/>
  <c r="H74" i="17"/>
  <c r="G74" i="17"/>
  <c r="F74" i="17"/>
  <c r="E74" i="17"/>
  <c r="D74" i="17"/>
  <c r="C74" i="17"/>
  <c r="B74" i="17"/>
  <c r="A74" i="17"/>
  <c r="L73" i="17"/>
  <c r="K73" i="17"/>
  <c r="H73" i="17"/>
  <c r="G73" i="17"/>
  <c r="F73" i="17"/>
  <c r="E73" i="17"/>
  <c r="D73" i="17"/>
  <c r="C73" i="17"/>
  <c r="B73" i="17"/>
  <c r="A73" i="17"/>
  <c r="L72" i="17"/>
  <c r="K72" i="17"/>
  <c r="H72" i="17"/>
  <c r="G72" i="17"/>
  <c r="F72" i="17"/>
  <c r="E72" i="17"/>
  <c r="D72" i="17"/>
  <c r="C72" i="17"/>
  <c r="B72" i="17"/>
  <c r="A72" i="17"/>
  <c r="L71" i="17"/>
  <c r="K71" i="17"/>
  <c r="H71" i="17"/>
  <c r="G71" i="17"/>
  <c r="F71" i="17"/>
  <c r="E71" i="17"/>
  <c r="D71" i="17"/>
  <c r="C71" i="17"/>
  <c r="B71" i="17"/>
  <c r="A71" i="17"/>
  <c r="L70" i="17"/>
  <c r="K70" i="17"/>
  <c r="H70" i="17"/>
  <c r="G70" i="17"/>
  <c r="F70" i="17"/>
  <c r="E70" i="17"/>
  <c r="D70" i="17"/>
  <c r="C70" i="17"/>
  <c r="B70" i="17"/>
  <c r="A70" i="17"/>
  <c r="L69" i="17"/>
  <c r="K69" i="17"/>
  <c r="H69" i="17"/>
  <c r="G69" i="17"/>
  <c r="F69" i="17"/>
  <c r="E69" i="17"/>
  <c r="D69" i="17"/>
  <c r="C69" i="17"/>
  <c r="B69" i="17"/>
  <c r="A69" i="17"/>
  <c r="L68" i="17"/>
  <c r="K68" i="17"/>
  <c r="H68" i="17"/>
  <c r="G68" i="17"/>
  <c r="F68" i="17"/>
  <c r="E68" i="17"/>
  <c r="D68" i="17"/>
  <c r="C68" i="17"/>
  <c r="B68" i="17"/>
  <c r="A68" i="17"/>
  <c r="L67" i="17"/>
  <c r="K67" i="17"/>
  <c r="H67" i="17"/>
  <c r="G67" i="17"/>
  <c r="F67" i="17"/>
  <c r="E67" i="17"/>
  <c r="D67" i="17"/>
  <c r="C67" i="17"/>
  <c r="B67" i="17"/>
  <c r="A67" i="17"/>
  <c r="L66" i="17"/>
  <c r="K66" i="17"/>
  <c r="H66" i="17"/>
  <c r="G66" i="17"/>
  <c r="F66" i="17"/>
  <c r="E66" i="17"/>
  <c r="D66" i="17"/>
  <c r="C66" i="17"/>
  <c r="B66" i="17"/>
  <c r="A66" i="17"/>
  <c r="L65" i="17"/>
  <c r="K65" i="17"/>
  <c r="H65" i="17"/>
  <c r="G65" i="17"/>
  <c r="F65" i="17"/>
  <c r="E65" i="17"/>
  <c r="D65" i="17"/>
  <c r="C65" i="17"/>
  <c r="B65" i="17"/>
  <c r="A65" i="17"/>
  <c r="L64" i="17"/>
  <c r="K64" i="17"/>
  <c r="H64" i="17"/>
  <c r="G64" i="17"/>
  <c r="F64" i="17"/>
  <c r="E64" i="17"/>
  <c r="D64" i="17"/>
  <c r="C64" i="17"/>
  <c r="B64" i="17"/>
  <c r="A64" i="17"/>
  <c r="L63" i="17"/>
  <c r="K63" i="17"/>
  <c r="H63" i="17"/>
  <c r="G63" i="17"/>
  <c r="F63" i="17"/>
  <c r="E63" i="17"/>
  <c r="D63" i="17"/>
  <c r="C63" i="17"/>
  <c r="B63" i="17"/>
  <c r="A63" i="17"/>
  <c r="L62" i="17"/>
  <c r="K62" i="17"/>
  <c r="H62" i="17"/>
  <c r="G62" i="17"/>
  <c r="F62" i="17"/>
  <c r="E62" i="17"/>
  <c r="D62" i="17"/>
  <c r="C62" i="17"/>
  <c r="B62" i="17"/>
  <c r="A62" i="17"/>
  <c r="L61" i="17"/>
  <c r="K61" i="17"/>
  <c r="H61" i="17"/>
  <c r="G61" i="17"/>
  <c r="F61" i="17"/>
  <c r="E61" i="17"/>
  <c r="D61" i="17"/>
  <c r="C61" i="17"/>
  <c r="B61" i="17"/>
  <c r="A61" i="17"/>
  <c r="L60" i="17"/>
  <c r="K60" i="17"/>
  <c r="H60" i="17"/>
  <c r="G60" i="17"/>
  <c r="F60" i="17"/>
  <c r="E60" i="17"/>
  <c r="D60" i="17"/>
  <c r="C60" i="17"/>
  <c r="B60" i="17"/>
  <c r="A60" i="17"/>
  <c r="L59" i="17"/>
  <c r="K59" i="17"/>
  <c r="H59" i="17"/>
  <c r="G59" i="17"/>
  <c r="F59" i="17"/>
  <c r="E59" i="17"/>
  <c r="D59" i="17"/>
  <c r="C59" i="17"/>
  <c r="B59" i="17"/>
  <c r="A59" i="17"/>
  <c r="L58" i="17"/>
  <c r="K58" i="17"/>
  <c r="H58" i="17"/>
  <c r="G58" i="17"/>
  <c r="F58" i="17"/>
  <c r="E58" i="17"/>
  <c r="D58" i="17"/>
  <c r="C58" i="17"/>
  <c r="B58" i="17"/>
  <c r="A58" i="17"/>
  <c r="L57" i="17"/>
  <c r="K57" i="17"/>
  <c r="H57" i="17"/>
  <c r="G57" i="17"/>
  <c r="F57" i="17"/>
  <c r="E57" i="17"/>
  <c r="D57" i="17"/>
  <c r="C57" i="17"/>
  <c r="B57" i="17"/>
  <c r="A57" i="17"/>
  <c r="L56" i="17"/>
  <c r="K56" i="17"/>
  <c r="H56" i="17"/>
  <c r="G56" i="17"/>
  <c r="F56" i="17"/>
  <c r="E56" i="17"/>
  <c r="D56" i="17"/>
  <c r="C56" i="17"/>
  <c r="B56" i="17"/>
  <c r="A56" i="17"/>
  <c r="L55" i="17"/>
  <c r="K55" i="17"/>
  <c r="H55" i="17"/>
  <c r="G55" i="17"/>
  <c r="F55" i="17"/>
  <c r="E55" i="17"/>
  <c r="D55" i="17"/>
  <c r="C55" i="17"/>
  <c r="B55" i="17"/>
  <c r="A55" i="17"/>
  <c r="L54" i="17"/>
  <c r="K54" i="17"/>
  <c r="H54" i="17"/>
  <c r="G54" i="17"/>
  <c r="F54" i="17"/>
  <c r="E54" i="17"/>
  <c r="D54" i="17"/>
  <c r="C54" i="17"/>
  <c r="B54" i="17"/>
  <c r="A54" i="17"/>
  <c r="L53" i="17"/>
  <c r="K53" i="17"/>
  <c r="H53" i="17"/>
  <c r="G53" i="17"/>
  <c r="F53" i="17"/>
  <c r="E53" i="17"/>
  <c r="D53" i="17"/>
  <c r="C53" i="17"/>
  <c r="B53" i="17"/>
  <c r="A53" i="17"/>
  <c r="L52" i="17"/>
  <c r="K52" i="17"/>
  <c r="H52" i="17"/>
  <c r="G52" i="17"/>
  <c r="F52" i="17"/>
  <c r="E52" i="17"/>
  <c r="D52" i="17"/>
  <c r="C52" i="17"/>
  <c r="B52" i="17"/>
  <c r="A52" i="17"/>
  <c r="L51" i="17"/>
  <c r="K51" i="17"/>
  <c r="H51" i="17"/>
  <c r="G51" i="17"/>
  <c r="F51" i="17"/>
  <c r="E51" i="17"/>
  <c r="D51" i="17"/>
  <c r="C51" i="17"/>
  <c r="B51" i="17"/>
  <c r="A51" i="17"/>
  <c r="L50" i="17"/>
  <c r="K50" i="17"/>
  <c r="H50" i="17"/>
  <c r="G50" i="17"/>
  <c r="F50" i="17"/>
  <c r="E50" i="17"/>
  <c r="D50" i="17"/>
  <c r="C50" i="17"/>
  <c r="B50" i="17"/>
  <c r="A50" i="17"/>
  <c r="L49" i="17"/>
  <c r="K49" i="17"/>
  <c r="H49" i="17"/>
  <c r="G49" i="17"/>
  <c r="F49" i="17"/>
  <c r="E49" i="17"/>
  <c r="D49" i="17"/>
  <c r="C49" i="17"/>
  <c r="B49" i="17"/>
  <c r="A49" i="17"/>
  <c r="L48" i="17"/>
  <c r="K48" i="17"/>
  <c r="H48" i="17"/>
  <c r="G48" i="17"/>
  <c r="F48" i="17"/>
  <c r="E48" i="17"/>
  <c r="D48" i="17"/>
  <c r="C48" i="17"/>
  <c r="B48" i="17"/>
  <c r="A48" i="17"/>
  <c r="L47" i="17"/>
  <c r="K47" i="17"/>
  <c r="H47" i="17"/>
  <c r="G47" i="17"/>
  <c r="F47" i="17"/>
  <c r="E47" i="17"/>
  <c r="D47" i="17"/>
  <c r="C47" i="17"/>
  <c r="B47" i="17"/>
  <c r="A47" i="17"/>
  <c r="L46" i="17"/>
  <c r="K46" i="17"/>
  <c r="H46" i="17"/>
  <c r="G46" i="17"/>
  <c r="F46" i="17"/>
  <c r="E46" i="17"/>
  <c r="D46" i="17"/>
  <c r="C46" i="17"/>
  <c r="B46" i="17"/>
  <c r="A46" i="17"/>
  <c r="L45" i="17"/>
  <c r="K45" i="17"/>
  <c r="H45" i="17"/>
  <c r="G45" i="17"/>
  <c r="F45" i="17"/>
  <c r="E45" i="17"/>
  <c r="D45" i="17"/>
  <c r="C45" i="17"/>
  <c r="B45" i="17"/>
  <c r="A45" i="17"/>
  <c r="L44" i="17"/>
  <c r="K44" i="17"/>
  <c r="H44" i="17"/>
  <c r="G44" i="17"/>
  <c r="F44" i="17"/>
  <c r="E44" i="17"/>
  <c r="D44" i="17"/>
  <c r="C44" i="17"/>
  <c r="B44" i="17"/>
  <c r="A44" i="17"/>
  <c r="L43" i="17"/>
  <c r="K43" i="17"/>
  <c r="H43" i="17"/>
  <c r="G43" i="17"/>
  <c r="F43" i="17"/>
  <c r="E43" i="17"/>
  <c r="D43" i="17"/>
  <c r="C43" i="17"/>
  <c r="B43" i="17"/>
  <c r="A43" i="17"/>
  <c r="L42" i="17"/>
  <c r="K42" i="17"/>
  <c r="H42" i="17"/>
  <c r="G42" i="17"/>
  <c r="F42" i="17"/>
  <c r="E42" i="17"/>
  <c r="D42" i="17"/>
  <c r="C42" i="17"/>
  <c r="B42" i="17"/>
  <c r="A42" i="17"/>
  <c r="L41" i="17"/>
  <c r="K41" i="17"/>
  <c r="H41" i="17"/>
  <c r="G41" i="17"/>
  <c r="F41" i="17"/>
  <c r="E41" i="17"/>
  <c r="D41" i="17"/>
  <c r="C41" i="17"/>
  <c r="B41" i="17"/>
  <c r="A41" i="17"/>
  <c r="L40" i="17"/>
  <c r="K40" i="17"/>
  <c r="H40" i="17"/>
  <c r="G40" i="17"/>
  <c r="F40" i="17"/>
  <c r="E40" i="17"/>
  <c r="D40" i="17"/>
  <c r="C40" i="17"/>
  <c r="B40" i="17"/>
  <c r="A40" i="17"/>
  <c r="L39" i="17"/>
  <c r="K39" i="17"/>
  <c r="H39" i="17"/>
  <c r="G39" i="17"/>
  <c r="F39" i="17"/>
  <c r="E39" i="17"/>
  <c r="D39" i="17"/>
  <c r="C39" i="17"/>
  <c r="B39" i="17"/>
  <c r="A39" i="17"/>
  <c r="L38" i="17"/>
  <c r="K38" i="17"/>
  <c r="H38" i="17"/>
  <c r="G38" i="17"/>
  <c r="F38" i="17"/>
  <c r="E38" i="17"/>
  <c r="D38" i="17"/>
  <c r="C38" i="17"/>
  <c r="B38" i="17"/>
  <c r="A38" i="17"/>
  <c r="L37" i="17"/>
  <c r="K37" i="17"/>
  <c r="H37" i="17"/>
  <c r="G37" i="17"/>
  <c r="F37" i="17"/>
  <c r="E37" i="17"/>
  <c r="D37" i="17"/>
  <c r="C37" i="17"/>
  <c r="B37" i="17"/>
  <c r="A37" i="17"/>
  <c r="L36" i="17"/>
  <c r="K36" i="17"/>
  <c r="H36" i="17"/>
  <c r="G36" i="17"/>
  <c r="F36" i="17"/>
  <c r="E36" i="17"/>
  <c r="D36" i="17"/>
  <c r="C36" i="17"/>
  <c r="B36" i="17"/>
  <c r="A36" i="17"/>
  <c r="L35" i="17"/>
  <c r="K35" i="17"/>
  <c r="H35" i="17"/>
  <c r="G35" i="17"/>
  <c r="F35" i="17"/>
  <c r="E35" i="17"/>
  <c r="D35" i="17"/>
  <c r="C35" i="17"/>
  <c r="B35" i="17"/>
  <c r="A35" i="17"/>
  <c r="L34" i="17"/>
  <c r="K34" i="17"/>
  <c r="H34" i="17"/>
  <c r="G34" i="17"/>
  <c r="F34" i="17"/>
  <c r="E34" i="17"/>
  <c r="D34" i="17"/>
  <c r="C34" i="17"/>
  <c r="B34" i="17"/>
  <c r="A34" i="17"/>
  <c r="L33" i="17"/>
  <c r="K33" i="17"/>
  <c r="H33" i="17"/>
  <c r="G33" i="17"/>
  <c r="F33" i="17"/>
  <c r="E33" i="17"/>
  <c r="D33" i="17"/>
  <c r="C33" i="17"/>
  <c r="B33" i="17"/>
  <c r="A33" i="17"/>
  <c r="L32" i="17"/>
  <c r="K32" i="17"/>
  <c r="H32" i="17"/>
  <c r="G32" i="17"/>
  <c r="F32" i="17"/>
  <c r="E32" i="17"/>
  <c r="D32" i="17"/>
  <c r="C32" i="17"/>
  <c r="B32" i="17"/>
  <c r="A32" i="17"/>
  <c r="L31" i="17"/>
  <c r="K31" i="17"/>
  <c r="H31" i="17"/>
  <c r="G31" i="17"/>
  <c r="F31" i="17"/>
  <c r="E31" i="17"/>
  <c r="D31" i="17"/>
  <c r="C31" i="17"/>
  <c r="B31" i="17"/>
  <c r="A31" i="17"/>
  <c r="L30" i="17"/>
  <c r="K30" i="17"/>
  <c r="H30" i="17"/>
  <c r="G30" i="17"/>
  <c r="F30" i="17"/>
  <c r="E30" i="17"/>
  <c r="D30" i="17"/>
  <c r="C30" i="17"/>
  <c r="B30" i="17"/>
  <c r="A30" i="17"/>
  <c r="L29" i="17"/>
  <c r="K29" i="17"/>
  <c r="H29" i="17"/>
  <c r="G29" i="17"/>
  <c r="F29" i="17"/>
  <c r="E29" i="17"/>
  <c r="D29" i="17"/>
  <c r="C29" i="17"/>
  <c r="B29" i="17"/>
  <c r="A29" i="17"/>
  <c r="L28" i="17"/>
  <c r="K28" i="17"/>
  <c r="H28" i="17"/>
  <c r="G28" i="17"/>
  <c r="F28" i="17"/>
  <c r="E28" i="17"/>
  <c r="D28" i="17"/>
  <c r="C28" i="17"/>
  <c r="B28" i="17"/>
  <c r="A28" i="17"/>
  <c r="L27" i="17"/>
  <c r="K27" i="17"/>
  <c r="H27" i="17"/>
  <c r="G27" i="17"/>
  <c r="F27" i="17"/>
  <c r="E27" i="17"/>
  <c r="D27" i="17"/>
  <c r="C27" i="17"/>
  <c r="B27" i="17"/>
  <c r="A27" i="17"/>
  <c r="L26" i="17"/>
  <c r="K26" i="17"/>
  <c r="H26" i="17"/>
  <c r="G26" i="17"/>
  <c r="F26" i="17"/>
  <c r="E26" i="17"/>
  <c r="D26" i="17"/>
  <c r="C26" i="17"/>
  <c r="B26" i="17"/>
  <c r="A26" i="17"/>
  <c r="L25" i="17"/>
  <c r="K25" i="17"/>
  <c r="H25" i="17"/>
  <c r="G25" i="17"/>
  <c r="F25" i="17"/>
  <c r="E25" i="17"/>
  <c r="D25" i="17"/>
  <c r="C25" i="17"/>
  <c r="B25" i="17"/>
  <c r="A25" i="17"/>
  <c r="L24" i="17"/>
  <c r="K24" i="17"/>
  <c r="H24" i="17"/>
  <c r="G24" i="17"/>
  <c r="F24" i="17"/>
  <c r="E24" i="17"/>
  <c r="D24" i="17"/>
  <c r="C24" i="17"/>
  <c r="B24" i="17"/>
  <c r="A24" i="17"/>
  <c r="L23" i="17"/>
  <c r="K23" i="17"/>
  <c r="H23" i="17"/>
  <c r="G23" i="17"/>
  <c r="F23" i="17"/>
  <c r="E23" i="17"/>
  <c r="D23" i="17"/>
  <c r="C23" i="17"/>
  <c r="B23" i="17"/>
  <c r="A23" i="17"/>
  <c r="L22" i="17"/>
  <c r="K22" i="17"/>
  <c r="H22" i="17"/>
  <c r="G22" i="17"/>
  <c r="F22" i="17"/>
  <c r="E22" i="17"/>
  <c r="D22" i="17"/>
  <c r="C22" i="17"/>
  <c r="B22" i="17"/>
  <c r="A22" i="17"/>
  <c r="L21" i="17"/>
  <c r="K21" i="17"/>
  <c r="H21" i="17"/>
  <c r="G21" i="17"/>
  <c r="F21" i="17"/>
  <c r="E21" i="17"/>
  <c r="D21" i="17"/>
  <c r="C21" i="17"/>
  <c r="B21" i="17"/>
  <c r="A21" i="17"/>
  <c r="L20" i="17"/>
  <c r="K20" i="17"/>
  <c r="H20" i="17"/>
  <c r="G20" i="17"/>
  <c r="F20" i="17"/>
  <c r="E20" i="17"/>
  <c r="D20" i="17"/>
  <c r="C20" i="17"/>
  <c r="B20" i="17"/>
  <c r="A20" i="17"/>
  <c r="L19" i="17"/>
  <c r="K19" i="17"/>
  <c r="H19" i="17"/>
  <c r="G19" i="17"/>
  <c r="F19" i="17"/>
  <c r="E19" i="17"/>
  <c r="D19" i="17"/>
  <c r="C19" i="17"/>
  <c r="B19" i="17"/>
  <c r="A19" i="17"/>
  <c r="L18" i="17"/>
  <c r="K18" i="17"/>
  <c r="H18" i="17"/>
  <c r="G18" i="17"/>
  <c r="F18" i="17"/>
  <c r="E18" i="17"/>
  <c r="D18" i="17"/>
  <c r="C18" i="17"/>
  <c r="B18" i="17"/>
  <c r="A18" i="17"/>
  <c r="L17" i="17"/>
  <c r="K17" i="17"/>
  <c r="H17" i="17"/>
  <c r="G17" i="17"/>
  <c r="F17" i="17"/>
  <c r="E17" i="17"/>
  <c r="D17" i="17"/>
  <c r="C17" i="17"/>
  <c r="B17" i="17"/>
  <c r="A17" i="17"/>
  <c r="L16" i="17"/>
  <c r="K16" i="17"/>
  <c r="H16" i="17"/>
  <c r="G16" i="17"/>
  <c r="F16" i="17"/>
  <c r="E16" i="17"/>
  <c r="D16" i="17"/>
  <c r="C16" i="17"/>
  <c r="B16" i="17"/>
  <c r="A16" i="17"/>
  <c r="L15" i="17"/>
  <c r="K15" i="17"/>
  <c r="H15" i="17"/>
  <c r="G15" i="17"/>
  <c r="F15" i="17"/>
  <c r="E15" i="17"/>
  <c r="D15" i="17"/>
  <c r="C15" i="17"/>
  <c r="B15" i="17"/>
  <c r="A15" i="17"/>
  <c r="L14" i="17"/>
  <c r="K14" i="17"/>
  <c r="H14" i="17"/>
  <c r="G14" i="17"/>
  <c r="F14" i="17"/>
  <c r="E14" i="17"/>
  <c r="D14" i="17"/>
  <c r="C14" i="17"/>
  <c r="B14" i="17"/>
  <c r="A14" i="17"/>
  <c r="L13" i="17"/>
  <c r="K13" i="17"/>
  <c r="H13" i="17"/>
  <c r="G13" i="17"/>
  <c r="F13" i="17"/>
  <c r="E13" i="17"/>
  <c r="D13" i="17"/>
  <c r="C13" i="17"/>
  <c r="B13" i="17"/>
  <c r="A13" i="17"/>
  <c r="L12" i="17"/>
  <c r="K12" i="17"/>
  <c r="H12" i="17"/>
  <c r="G12" i="17"/>
  <c r="F12" i="17"/>
  <c r="E12" i="17"/>
  <c r="D12" i="17"/>
  <c r="C12" i="17"/>
  <c r="B12" i="17"/>
  <c r="A12" i="17"/>
  <c r="L11" i="17"/>
  <c r="K11" i="17"/>
  <c r="H11" i="17"/>
  <c r="G11" i="17"/>
  <c r="F11" i="17"/>
  <c r="E11" i="17"/>
  <c r="D11" i="17"/>
  <c r="C11" i="17"/>
  <c r="B11" i="17"/>
  <c r="A11" i="17"/>
  <c r="L10" i="17"/>
  <c r="K10" i="17"/>
  <c r="H10" i="17"/>
  <c r="G10" i="17"/>
  <c r="F10" i="17"/>
  <c r="E10" i="17"/>
  <c r="D10" i="17"/>
  <c r="C10" i="17"/>
  <c r="B10" i="17"/>
  <c r="A10" i="17"/>
  <c r="L9" i="17"/>
  <c r="K9" i="17"/>
  <c r="H9" i="17"/>
  <c r="G9" i="17"/>
  <c r="F9" i="17"/>
  <c r="E9" i="17"/>
  <c r="D9" i="17"/>
  <c r="C9" i="17"/>
  <c r="B9" i="17"/>
  <c r="A9" i="17"/>
  <c r="L8" i="17"/>
  <c r="K8" i="17"/>
  <c r="H8" i="17"/>
  <c r="G8" i="17"/>
  <c r="F8" i="17"/>
  <c r="E8" i="17"/>
  <c r="D8" i="17"/>
  <c r="C8" i="17"/>
  <c r="B8" i="17"/>
  <c r="A8" i="17"/>
  <c r="K7" i="17"/>
  <c r="H7" i="17"/>
  <c r="G7" i="17"/>
  <c r="F7" i="17"/>
  <c r="E7" i="17"/>
  <c r="D7" i="17"/>
  <c r="C7" i="17"/>
  <c r="B7" i="17"/>
  <c r="A7" i="17"/>
  <c r="J2" i="17"/>
  <c r="D25" i="1" s="1"/>
  <c r="L110" i="16"/>
  <c r="K110" i="16"/>
  <c r="H110" i="16"/>
  <c r="G110" i="16"/>
  <c r="F110" i="16"/>
  <c r="E110" i="16"/>
  <c r="D110" i="16"/>
  <c r="C110" i="16"/>
  <c r="B110" i="16"/>
  <c r="A110" i="16"/>
  <c r="L109" i="16"/>
  <c r="K109" i="16"/>
  <c r="H109" i="16"/>
  <c r="G109" i="16"/>
  <c r="F109" i="16"/>
  <c r="E109" i="16"/>
  <c r="D109" i="16"/>
  <c r="C109" i="16"/>
  <c r="B109" i="16"/>
  <c r="A109" i="16"/>
  <c r="L108" i="16"/>
  <c r="K108" i="16"/>
  <c r="H108" i="16"/>
  <c r="G108" i="16"/>
  <c r="F108" i="16"/>
  <c r="E108" i="16"/>
  <c r="D108" i="16"/>
  <c r="C108" i="16"/>
  <c r="B108" i="16"/>
  <c r="A108" i="16"/>
  <c r="L107" i="16"/>
  <c r="K107" i="16"/>
  <c r="H107" i="16"/>
  <c r="G107" i="16"/>
  <c r="F107" i="16"/>
  <c r="E107" i="16"/>
  <c r="D107" i="16"/>
  <c r="C107" i="16"/>
  <c r="B107" i="16"/>
  <c r="A107" i="16"/>
  <c r="L106" i="16"/>
  <c r="K106" i="16"/>
  <c r="H106" i="16"/>
  <c r="G106" i="16"/>
  <c r="F106" i="16"/>
  <c r="E106" i="16"/>
  <c r="D106" i="16"/>
  <c r="C106" i="16"/>
  <c r="B106" i="16"/>
  <c r="A106" i="16"/>
  <c r="L105" i="16"/>
  <c r="K105" i="16"/>
  <c r="H105" i="16"/>
  <c r="G105" i="16"/>
  <c r="F105" i="16"/>
  <c r="E105" i="16"/>
  <c r="D105" i="16"/>
  <c r="C105" i="16"/>
  <c r="B105" i="16"/>
  <c r="A105" i="16"/>
  <c r="L104" i="16"/>
  <c r="K104" i="16"/>
  <c r="H104" i="16"/>
  <c r="G104" i="16"/>
  <c r="F104" i="16"/>
  <c r="E104" i="16"/>
  <c r="D104" i="16"/>
  <c r="C104" i="16"/>
  <c r="B104" i="16"/>
  <c r="A104" i="16"/>
  <c r="L103" i="16"/>
  <c r="K103" i="16"/>
  <c r="H103" i="16"/>
  <c r="G103" i="16"/>
  <c r="F103" i="16"/>
  <c r="E103" i="16"/>
  <c r="D103" i="16"/>
  <c r="C103" i="16"/>
  <c r="B103" i="16"/>
  <c r="A103" i="16"/>
  <c r="L102" i="16"/>
  <c r="K102" i="16"/>
  <c r="H102" i="16"/>
  <c r="G102" i="16"/>
  <c r="F102" i="16"/>
  <c r="E102" i="16"/>
  <c r="D102" i="16"/>
  <c r="C102" i="16"/>
  <c r="B102" i="16"/>
  <c r="A102" i="16"/>
  <c r="L101" i="16"/>
  <c r="K101" i="16"/>
  <c r="H101" i="16"/>
  <c r="G101" i="16"/>
  <c r="F101" i="16"/>
  <c r="E101" i="16"/>
  <c r="D101" i="16"/>
  <c r="C101" i="16"/>
  <c r="B101" i="16"/>
  <c r="A101" i="16"/>
  <c r="L100" i="16"/>
  <c r="K100" i="16"/>
  <c r="H100" i="16"/>
  <c r="G100" i="16"/>
  <c r="F100" i="16"/>
  <c r="E100" i="16"/>
  <c r="D100" i="16"/>
  <c r="C100" i="16"/>
  <c r="B100" i="16"/>
  <c r="A100" i="16"/>
  <c r="L99" i="16"/>
  <c r="K99" i="16"/>
  <c r="H99" i="16"/>
  <c r="G99" i="16"/>
  <c r="F99" i="16"/>
  <c r="E99" i="16"/>
  <c r="D99" i="16"/>
  <c r="C99" i="16"/>
  <c r="B99" i="16"/>
  <c r="A99" i="16"/>
  <c r="L98" i="16"/>
  <c r="K98" i="16"/>
  <c r="H98" i="16"/>
  <c r="G98" i="16"/>
  <c r="F98" i="16"/>
  <c r="E98" i="16"/>
  <c r="D98" i="16"/>
  <c r="C98" i="16"/>
  <c r="B98" i="16"/>
  <c r="A98" i="16"/>
  <c r="L97" i="16"/>
  <c r="K97" i="16"/>
  <c r="H97" i="16"/>
  <c r="G97" i="16"/>
  <c r="F97" i="16"/>
  <c r="E97" i="16"/>
  <c r="D97" i="16"/>
  <c r="C97" i="16"/>
  <c r="B97" i="16"/>
  <c r="A97" i="16"/>
  <c r="L96" i="16"/>
  <c r="K96" i="16"/>
  <c r="H96" i="16"/>
  <c r="G96" i="16"/>
  <c r="F96" i="16"/>
  <c r="E96" i="16"/>
  <c r="D96" i="16"/>
  <c r="C96" i="16"/>
  <c r="B96" i="16"/>
  <c r="A96" i="16"/>
  <c r="L95" i="16"/>
  <c r="K95" i="16"/>
  <c r="H95" i="16"/>
  <c r="G95" i="16"/>
  <c r="F95" i="16"/>
  <c r="E95" i="16"/>
  <c r="D95" i="16"/>
  <c r="C95" i="16"/>
  <c r="B95" i="16"/>
  <c r="A95" i="16"/>
  <c r="L94" i="16"/>
  <c r="K94" i="16"/>
  <c r="H94" i="16"/>
  <c r="G94" i="16"/>
  <c r="F94" i="16"/>
  <c r="E94" i="16"/>
  <c r="D94" i="16"/>
  <c r="C94" i="16"/>
  <c r="B94" i="16"/>
  <c r="A94" i="16"/>
  <c r="L93" i="16"/>
  <c r="K93" i="16"/>
  <c r="H93" i="16"/>
  <c r="G93" i="16"/>
  <c r="F93" i="16"/>
  <c r="E93" i="16"/>
  <c r="D93" i="16"/>
  <c r="C93" i="16"/>
  <c r="B93" i="16"/>
  <c r="A93" i="16"/>
  <c r="L92" i="16"/>
  <c r="K92" i="16"/>
  <c r="H92" i="16"/>
  <c r="G92" i="16"/>
  <c r="F92" i="16"/>
  <c r="E92" i="16"/>
  <c r="D92" i="16"/>
  <c r="C92" i="16"/>
  <c r="B92" i="16"/>
  <c r="A92" i="16"/>
  <c r="L91" i="16"/>
  <c r="K91" i="16"/>
  <c r="H91" i="16"/>
  <c r="G91" i="16"/>
  <c r="F91" i="16"/>
  <c r="E91" i="16"/>
  <c r="D91" i="16"/>
  <c r="C91" i="16"/>
  <c r="B91" i="16"/>
  <c r="A91" i="16"/>
  <c r="L90" i="16"/>
  <c r="K90" i="16"/>
  <c r="H90" i="16"/>
  <c r="G90" i="16"/>
  <c r="F90" i="16"/>
  <c r="E90" i="16"/>
  <c r="D90" i="16"/>
  <c r="C90" i="16"/>
  <c r="B90" i="16"/>
  <c r="A90" i="16"/>
  <c r="L89" i="16"/>
  <c r="K89" i="16"/>
  <c r="H89" i="16"/>
  <c r="G89" i="16"/>
  <c r="F89" i="16"/>
  <c r="E89" i="16"/>
  <c r="D89" i="16"/>
  <c r="C89" i="16"/>
  <c r="B89" i="16"/>
  <c r="A89" i="16"/>
  <c r="L88" i="16"/>
  <c r="K88" i="16"/>
  <c r="H88" i="16"/>
  <c r="G88" i="16"/>
  <c r="F88" i="16"/>
  <c r="E88" i="16"/>
  <c r="D88" i="16"/>
  <c r="C88" i="16"/>
  <c r="B88" i="16"/>
  <c r="A88" i="16"/>
  <c r="L87" i="16"/>
  <c r="K87" i="16"/>
  <c r="H87" i="16"/>
  <c r="G87" i="16"/>
  <c r="F87" i="16"/>
  <c r="E87" i="16"/>
  <c r="D87" i="16"/>
  <c r="C87" i="16"/>
  <c r="B87" i="16"/>
  <c r="A87" i="16"/>
  <c r="L86" i="16"/>
  <c r="K86" i="16"/>
  <c r="H86" i="16"/>
  <c r="G86" i="16"/>
  <c r="F86" i="16"/>
  <c r="E86" i="16"/>
  <c r="D86" i="16"/>
  <c r="C86" i="16"/>
  <c r="B86" i="16"/>
  <c r="A86" i="16"/>
  <c r="L85" i="16"/>
  <c r="K85" i="16"/>
  <c r="H85" i="16"/>
  <c r="G85" i="16"/>
  <c r="F85" i="16"/>
  <c r="E85" i="16"/>
  <c r="D85" i="16"/>
  <c r="C85" i="16"/>
  <c r="B85" i="16"/>
  <c r="A85" i="16"/>
  <c r="L84" i="16"/>
  <c r="K84" i="16"/>
  <c r="H84" i="16"/>
  <c r="G84" i="16"/>
  <c r="F84" i="16"/>
  <c r="E84" i="16"/>
  <c r="D84" i="16"/>
  <c r="C84" i="16"/>
  <c r="B84" i="16"/>
  <c r="A84" i="16"/>
  <c r="L83" i="16"/>
  <c r="K83" i="16"/>
  <c r="H83" i="16"/>
  <c r="G83" i="16"/>
  <c r="F83" i="16"/>
  <c r="E83" i="16"/>
  <c r="D83" i="16"/>
  <c r="C83" i="16"/>
  <c r="B83" i="16"/>
  <c r="A83" i="16"/>
  <c r="L82" i="16"/>
  <c r="K82" i="16"/>
  <c r="H82" i="16"/>
  <c r="G82" i="16"/>
  <c r="F82" i="16"/>
  <c r="E82" i="16"/>
  <c r="D82" i="16"/>
  <c r="C82" i="16"/>
  <c r="B82" i="16"/>
  <c r="A82" i="16"/>
  <c r="L81" i="16"/>
  <c r="K81" i="16"/>
  <c r="H81" i="16"/>
  <c r="G81" i="16"/>
  <c r="F81" i="16"/>
  <c r="E81" i="16"/>
  <c r="D81" i="16"/>
  <c r="C81" i="16"/>
  <c r="B81" i="16"/>
  <c r="A81" i="16"/>
  <c r="L80" i="16"/>
  <c r="K80" i="16"/>
  <c r="H80" i="16"/>
  <c r="G80" i="16"/>
  <c r="F80" i="16"/>
  <c r="E80" i="16"/>
  <c r="D80" i="16"/>
  <c r="C80" i="16"/>
  <c r="B80" i="16"/>
  <c r="A80" i="16"/>
  <c r="L79" i="16"/>
  <c r="K79" i="16"/>
  <c r="H79" i="16"/>
  <c r="G79" i="16"/>
  <c r="F79" i="16"/>
  <c r="E79" i="16"/>
  <c r="D79" i="16"/>
  <c r="C79" i="16"/>
  <c r="B79" i="16"/>
  <c r="A79" i="16"/>
  <c r="L78" i="16"/>
  <c r="K78" i="16"/>
  <c r="H78" i="16"/>
  <c r="G78" i="16"/>
  <c r="F78" i="16"/>
  <c r="E78" i="16"/>
  <c r="D78" i="16"/>
  <c r="C78" i="16"/>
  <c r="B78" i="16"/>
  <c r="A78" i="16"/>
  <c r="L77" i="16"/>
  <c r="K77" i="16"/>
  <c r="H77" i="16"/>
  <c r="G77" i="16"/>
  <c r="F77" i="16"/>
  <c r="E77" i="16"/>
  <c r="D77" i="16"/>
  <c r="C77" i="16"/>
  <c r="B77" i="16"/>
  <c r="A77" i="16"/>
  <c r="L76" i="16"/>
  <c r="K76" i="16"/>
  <c r="H76" i="16"/>
  <c r="G76" i="16"/>
  <c r="F76" i="16"/>
  <c r="E76" i="16"/>
  <c r="D76" i="16"/>
  <c r="C76" i="16"/>
  <c r="B76" i="16"/>
  <c r="A76" i="16"/>
  <c r="L75" i="16"/>
  <c r="K75" i="16"/>
  <c r="H75" i="16"/>
  <c r="G75" i="16"/>
  <c r="F75" i="16"/>
  <c r="E75" i="16"/>
  <c r="D75" i="16"/>
  <c r="C75" i="16"/>
  <c r="B75" i="16"/>
  <c r="A75" i="16"/>
  <c r="L74" i="16"/>
  <c r="K74" i="16"/>
  <c r="H74" i="16"/>
  <c r="G74" i="16"/>
  <c r="F74" i="16"/>
  <c r="E74" i="16"/>
  <c r="D74" i="16"/>
  <c r="C74" i="16"/>
  <c r="B74" i="16"/>
  <c r="A74" i="16"/>
  <c r="L73" i="16"/>
  <c r="K73" i="16"/>
  <c r="H73" i="16"/>
  <c r="G73" i="16"/>
  <c r="F73" i="16"/>
  <c r="E73" i="16"/>
  <c r="D73" i="16"/>
  <c r="C73" i="16"/>
  <c r="B73" i="16"/>
  <c r="A73" i="16"/>
  <c r="L72" i="16"/>
  <c r="K72" i="16"/>
  <c r="H72" i="16"/>
  <c r="G72" i="16"/>
  <c r="F72" i="16"/>
  <c r="E72" i="16"/>
  <c r="D72" i="16"/>
  <c r="C72" i="16"/>
  <c r="B72" i="16"/>
  <c r="A72" i="16"/>
  <c r="L71" i="16"/>
  <c r="K71" i="16"/>
  <c r="H71" i="16"/>
  <c r="G71" i="16"/>
  <c r="F71" i="16"/>
  <c r="E71" i="16"/>
  <c r="D71" i="16"/>
  <c r="C71" i="16"/>
  <c r="B71" i="16"/>
  <c r="A71" i="16"/>
  <c r="L70" i="16"/>
  <c r="K70" i="16"/>
  <c r="H70" i="16"/>
  <c r="G70" i="16"/>
  <c r="F70" i="16"/>
  <c r="E70" i="16"/>
  <c r="D70" i="16"/>
  <c r="C70" i="16"/>
  <c r="B70" i="16"/>
  <c r="A70" i="16"/>
  <c r="L69" i="16"/>
  <c r="K69" i="16"/>
  <c r="H69" i="16"/>
  <c r="G69" i="16"/>
  <c r="F69" i="16"/>
  <c r="E69" i="16"/>
  <c r="D69" i="16"/>
  <c r="C69" i="16"/>
  <c r="B69" i="16"/>
  <c r="A69" i="16"/>
  <c r="L68" i="16"/>
  <c r="K68" i="16"/>
  <c r="H68" i="16"/>
  <c r="G68" i="16"/>
  <c r="F68" i="16"/>
  <c r="E68" i="16"/>
  <c r="D68" i="16"/>
  <c r="C68" i="16"/>
  <c r="B68" i="16"/>
  <c r="A68" i="16"/>
  <c r="L67" i="16"/>
  <c r="K67" i="16"/>
  <c r="H67" i="16"/>
  <c r="G67" i="16"/>
  <c r="F67" i="16"/>
  <c r="E67" i="16"/>
  <c r="D67" i="16"/>
  <c r="C67" i="16"/>
  <c r="B67" i="16"/>
  <c r="A67" i="16"/>
  <c r="L66" i="16"/>
  <c r="K66" i="16"/>
  <c r="H66" i="16"/>
  <c r="G66" i="16"/>
  <c r="F66" i="16"/>
  <c r="E66" i="16"/>
  <c r="D66" i="16"/>
  <c r="C66" i="16"/>
  <c r="B66" i="16"/>
  <c r="A66" i="16"/>
  <c r="L65" i="16"/>
  <c r="K65" i="16"/>
  <c r="H65" i="16"/>
  <c r="G65" i="16"/>
  <c r="F65" i="16"/>
  <c r="E65" i="16"/>
  <c r="D65" i="16"/>
  <c r="C65" i="16"/>
  <c r="B65" i="16"/>
  <c r="A65" i="16"/>
  <c r="L64" i="16"/>
  <c r="K64" i="16"/>
  <c r="H64" i="16"/>
  <c r="G64" i="16"/>
  <c r="F64" i="16"/>
  <c r="E64" i="16"/>
  <c r="D64" i="16"/>
  <c r="C64" i="16"/>
  <c r="B64" i="16"/>
  <c r="A64" i="16"/>
  <c r="L63" i="16"/>
  <c r="K63" i="16"/>
  <c r="H63" i="16"/>
  <c r="G63" i="16"/>
  <c r="F63" i="16"/>
  <c r="E63" i="16"/>
  <c r="D63" i="16"/>
  <c r="C63" i="16"/>
  <c r="B63" i="16"/>
  <c r="A63" i="16"/>
  <c r="L62" i="16"/>
  <c r="K62" i="16"/>
  <c r="H62" i="16"/>
  <c r="G62" i="16"/>
  <c r="F62" i="16"/>
  <c r="E62" i="16"/>
  <c r="D62" i="16"/>
  <c r="C62" i="16"/>
  <c r="B62" i="16"/>
  <c r="A62" i="16"/>
  <c r="L61" i="16"/>
  <c r="K61" i="16"/>
  <c r="H61" i="16"/>
  <c r="G61" i="16"/>
  <c r="F61" i="16"/>
  <c r="E61" i="16"/>
  <c r="D61" i="16"/>
  <c r="C61" i="16"/>
  <c r="B61" i="16"/>
  <c r="A61" i="16"/>
  <c r="L60" i="16"/>
  <c r="K60" i="16"/>
  <c r="H60" i="16"/>
  <c r="G60" i="16"/>
  <c r="F60" i="16"/>
  <c r="E60" i="16"/>
  <c r="D60" i="16"/>
  <c r="C60" i="16"/>
  <c r="B60" i="16"/>
  <c r="A60" i="16"/>
  <c r="L59" i="16"/>
  <c r="K59" i="16"/>
  <c r="H59" i="16"/>
  <c r="G59" i="16"/>
  <c r="F59" i="16"/>
  <c r="E59" i="16"/>
  <c r="D59" i="16"/>
  <c r="C59" i="16"/>
  <c r="B59" i="16"/>
  <c r="A59" i="16"/>
  <c r="L58" i="16"/>
  <c r="K58" i="16"/>
  <c r="H58" i="16"/>
  <c r="G58" i="16"/>
  <c r="F58" i="16"/>
  <c r="E58" i="16"/>
  <c r="D58" i="16"/>
  <c r="C58" i="16"/>
  <c r="B58" i="16"/>
  <c r="A58" i="16"/>
  <c r="L57" i="16"/>
  <c r="K57" i="16"/>
  <c r="H57" i="16"/>
  <c r="G57" i="16"/>
  <c r="F57" i="16"/>
  <c r="E57" i="16"/>
  <c r="D57" i="16"/>
  <c r="C57" i="16"/>
  <c r="B57" i="16"/>
  <c r="A57" i="16"/>
  <c r="L56" i="16"/>
  <c r="K56" i="16"/>
  <c r="H56" i="16"/>
  <c r="G56" i="16"/>
  <c r="F56" i="16"/>
  <c r="E56" i="16"/>
  <c r="D56" i="16"/>
  <c r="C56" i="16"/>
  <c r="B56" i="16"/>
  <c r="A56" i="16"/>
  <c r="L55" i="16"/>
  <c r="K55" i="16"/>
  <c r="H55" i="16"/>
  <c r="G55" i="16"/>
  <c r="F55" i="16"/>
  <c r="E55" i="16"/>
  <c r="D55" i="16"/>
  <c r="C55" i="16"/>
  <c r="B55" i="16"/>
  <c r="A55" i="16"/>
  <c r="L54" i="16"/>
  <c r="K54" i="16"/>
  <c r="H54" i="16"/>
  <c r="G54" i="16"/>
  <c r="F54" i="16"/>
  <c r="E54" i="16"/>
  <c r="D54" i="16"/>
  <c r="C54" i="16"/>
  <c r="B54" i="16"/>
  <c r="A54" i="16"/>
  <c r="L53" i="16"/>
  <c r="K53" i="16"/>
  <c r="H53" i="16"/>
  <c r="G53" i="16"/>
  <c r="F53" i="16"/>
  <c r="E53" i="16"/>
  <c r="D53" i="16"/>
  <c r="C53" i="16"/>
  <c r="B53" i="16"/>
  <c r="A53" i="16"/>
  <c r="L52" i="16"/>
  <c r="K52" i="16"/>
  <c r="H52" i="16"/>
  <c r="G52" i="16"/>
  <c r="F52" i="16"/>
  <c r="E52" i="16"/>
  <c r="D52" i="16"/>
  <c r="C52" i="16"/>
  <c r="B52" i="16"/>
  <c r="A52" i="16"/>
  <c r="L51" i="16"/>
  <c r="K51" i="16"/>
  <c r="H51" i="16"/>
  <c r="G51" i="16"/>
  <c r="F51" i="16"/>
  <c r="E51" i="16"/>
  <c r="D51" i="16"/>
  <c r="C51" i="16"/>
  <c r="B51" i="16"/>
  <c r="A51" i="16"/>
  <c r="L50" i="16"/>
  <c r="K50" i="16"/>
  <c r="H50" i="16"/>
  <c r="G50" i="16"/>
  <c r="F50" i="16"/>
  <c r="E50" i="16"/>
  <c r="D50" i="16"/>
  <c r="C50" i="16"/>
  <c r="B50" i="16"/>
  <c r="A50" i="16"/>
  <c r="L49" i="16"/>
  <c r="K49" i="16"/>
  <c r="H49" i="16"/>
  <c r="G49" i="16"/>
  <c r="F49" i="16"/>
  <c r="E49" i="16"/>
  <c r="D49" i="16"/>
  <c r="C49" i="16"/>
  <c r="B49" i="16"/>
  <c r="A49" i="16"/>
  <c r="L48" i="16"/>
  <c r="K48" i="16"/>
  <c r="H48" i="16"/>
  <c r="G48" i="16"/>
  <c r="F48" i="16"/>
  <c r="E48" i="16"/>
  <c r="D48" i="16"/>
  <c r="C48" i="16"/>
  <c r="B48" i="16"/>
  <c r="A48" i="16"/>
  <c r="L47" i="16"/>
  <c r="K47" i="16"/>
  <c r="H47" i="16"/>
  <c r="G47" i="16"/>
  <c r="F47" i="16"/>
  <c r="E47" i="16"/>
  <c r="D47" i="16"/>
  <c r="C47" i="16"/>
  <c r="B47" i="16"/>
  <c r="A47" i="16"/>
  <c r="L46" i="16"/>
  <c r="K46" i="16"/>
  <c r="H46" i="16"/>
  <c r="G46" i="16"/>
  <c r="F46" i="16"/>
  <c r="E46" i="16"/>
  <c r="D46" i="16"/>
  <c r="C46" i="16"/>
  <c r="B46" i="16"/>
  <c r="A46" i="16"/>
  <c r="L45" i="16"/>
  <c r="K45" i="16"/>
  <c r="H45" i="16"/>
  <c r="G45" i="16"/>
  <c r="F45" i="16"/>
  <c r="E45" i="16"/>
  <c r="D45" i="16"/>
  <c r="C45" i="16"/>
  <c r="B45" i="16"/>
  <c r="A45" i="16"/>
  <c r="L44" i="16"/>
  <c r="K44" i="16"/>
  <c r="H44" i="16"/>
  <c r="G44" i="16"/>
  <c r="F44" i="16"/>
  <c r="E44" i="16"/>
  <c r="D44" i="16"/>
  <c r="C44" i="16"/>
  <c r="B44" i="16"/>
  <c r="A44" i="16"/>
  <c r="L43" i="16"/>
  <c r="K43" i="16"/>
  <c r="H43" i="16"/>
  <c r="G43" i="16"/>
  <c r="F43" i="16"/>
  <c r="E43" i="16"/>
  <c r="D43" i="16"/>
  <c r="C43" i="16"/>
  <c r="B43" i="16"/>
  <c r="A43" i="16"/>
  <c r="L42" i="16"/>
  <c r="K42" i="16"/>
  <c r="H42" i="16"/>
  <c r="G42" i="16"/>
  <c r="F42" i="16"/>
  <c r="E42" i="16"/>
  <c r="D42" i="16"/>
  <c r="C42" i="16"/>
  <c r="B42" i="16"/>
  <c r="A42" i="16"/>
  <c r="L41" i="16"/>
  <c r="K41" i="16"/>
  <c r="H41" i="16"/>
  <c r="G41" i="16"/>
  <c r="F41" i="16"/>
  <c r="E41" i="16"/>
  <c r="D41" i="16"/>
  <c r="C41" i="16"/>
  <c r="B41" i="16"/>
  <c r="A41" i="16"/>
  <c r="L40" i="16"/>
  <c r="K40" i="16"/>
  <c r="H40" i="16"/>
  <c r="G40" i="16"/>
  <c r="F40" i="16"/>
  <c r="E40" i="16"/>
  <c r="D40" i="16"/>
  <c r="C40" i="16"/>
  <c r="B40" i="16"/>
  <c r="A40" i="16"/>
  <c r="L39" i="16"/>
  <c r="K39" i="16"/>
  <c r="H39" i="16"/>
  <c r="G39" i="16"/>
  <c r="F39" i="16"/>
  <c r="E39" i="16"/>
  <c r="D39" i="16"/>
  <c r="C39" i="16"/>
  <c r="B39" i="16"/>
  <c r="A39" i="16"/>
  <c r="L38" i="16"/>
  <c r="K38" i="16"/>
  <c r="H38" i="16"/>
  <c r="G38" i="16"/>
  <c r="F38" i="16"/>
  <c r="E38" i="16"/>
  <c r="D38" i="16"/>
  <c r="C38" i="16"/>
  <c r="B38" i="16"/>
  <c r="A38" i="16"/>
  <c r="L37" i="16"/>
  <c r="K37" i="16"/>
  <c r="H37" i="16"/>
  <c r="G37" i="16"/>
  <c r="F37" i="16"/>
  <c r="E37" i="16"/>
  <c r="D37" i="16"/>
  <c r="C37" i="16"/>
  <c r="B37" i="16"/>
  <c r="A37" i="16"/>
  <c r="L36" i="16"/>
  <c r="K36" i="16"/>
  <c r="H36" i="16"/>
  <c r="G36" i="16"/>
  <c r="F36" i="16"/>
  <c r="E36" i="16"/>
  <c r="D36" i="16"/>
  <c r="C36" i="16"/>
  <c r="B36" i="16"/>
  <c r="A36" i="16"/>
  <c r="L35" i="16"/>
  <c r="K35" i="16"/>
  <c r="H35" i="16"/>
  <c r="G35" i="16"/>
  <c r="F35" i="16"/>
  <c r="E35" i="16"/>
  <c r="D35" i="16"/>
  <c r="C35" i="16"/>
  <c r="B35" i="16"/>
  <c r="A35" i="16"/>
  <c r="L34" i="16"/>
  <c r="K34" i="16"/>
  <c r="H34" i="16"/>
  <c r="G34" i="16"/>
  <c r="F34" i="16"/>
  <c r="E34" i="16"/>
  <c r="D34" i="16"/>
  <c r="C34" i="16"/>
  <c r="B34" i="16"/>
  <c r="A34" i="16"/>
  <c r="L33" i="16"/>
  <c r="K33" i="16"/>
  <c r="H33" i="16"/>
  <c r="G33" i="16"/>
  <c r="F33" i="16"/>
  <c r="E33" i="16"/>
  <c r="D33" i="16"/>
  <c r="C33" i="16"/>
  <c r="B33" i="16"/>
  <c r="A33" i="16"/>
  <c r="L32" i="16"/>
  <c r="K32" i="16"/>
  <c r="H32" i="16"/>
  <c r="G32" i="16"/>
  <c r="F32" i="16"/>
  <c r="E32" i="16"/>
  <c r="D32" i="16"/>
  <c r="C32" i="16"/>
  <c r="B32" i="16"/>
  <c r="A32" i="16"/>
  <c r="L31" i="16"/>
  <c r="K31" i="16"/>
  <c r="H31" i="16"/>
  <c r="G31" i="16"/>
  <c r="F31" i="16"/>
  <c r="E31" i="16"/>
  <c r="D31" i="16"/>
  <c r="C31" i="16"/>
  <c r="B31" i="16"/>
  <c r="A31" i="16"/>
  <c r="L30" i="16"/>
  <c r="K30" i="16"/>
  <c r="H30" i="16"/>
  <c r="G30" i="16"/>
  <c r="F30" i="16"/>
  <c r="E30" i="16"/>
  <c r="D30" i="16"/>
  <c r="C30" i="16"/>
  <c r="B30" i="16"/>
  <c r="A30" i="16"/>
  <c r="L29" i="16"/>
  <c r="K29" i="16"/>
  <c r="H29" i="16"/>
  <c r="G29" i="16"/>
  <c r="F29" i="16"/>
  <c r="E29" i="16"/>
  <c r="D29" i="16"/>
  <c r="C29" i="16"/>
  <c r="B29" i="16"/>
  <c r="A29" i="16"/>
  <c r="L28" i="16"/>
  <c r="K28" i="16"/>
  <c r="H28" i="16"/>
  <c r="G28" i="16"/>
  <c r="F28" i="16"/>
  <c r="E28" i="16"/>
  <c r="D28" i="16"/>
  <c r="C28" i="16"/>
  <c r="B28" i="16"/>
  <c r="A28" i="16"/>
  <c r="L27" i="16"/>
  <c r="K27" i="16"/>
  <c r="H27" i="16"/>
  <c r="G27" i="16"/>
  <c r="F27" i="16"/>
  <c r="E27" i="16"/>
  <c r="D27" i="16"/>
  <c r="C27" i="16"/>
  <c r="B27" i="16"/>
  <c r="A27" i="16"/>
  <c r="L26" i="16"/>
  <c r="K26" i="16"/>
  <c r="H26" i="16"/>
  <c r="G26" i="16"/>
  <c r="F26" i="16"/>
  <c r="E26" i="16"/>
  <c r="D26" i="16"/>
  <c r="C26" i="16"/>
  <c r="B26" i="16"/>
  <c r="A26" i="16"/>
  <c r="L25" i="16"/>
  <c r="K25" i="16"/>
  <c r="H25" i="16"/>
  <c r="G25" i="16"/>
  <c r="F25" i="16"/>
  <c r="E25" i="16"/>
  <c r="D25" i="16"/>
  <c r="C25" i="16"/>
  <c r="B25" i="16"/>
  <c r="A25" i="16"/>
  <c r="L24" i="16"/>
  <c r="K24" i="16"/>
  <c r="H24" i="16"/>
  <c r="G24" i="16"/>
  <c r="F24" i="16"/>
  <c r="E24" i="16"/>
  <c r="D24" i="16"/>
  <c r="C24" i="16"/>
  <c r="B24" i="16"/>
  <c r="A24" i="16"/>
  <c r="L23" i="16"/>
  <c r="K23" i="16"/>
  <c r="H23" i="16"/>
  <c r="G23" i="16"/>
  <c r="F23" i="16"/>
  <c r="E23" i="16"/>
  <c r="D23" i="16"/>
  <c r="C23" i="16"/>
  <c r="B23" i="16"/>
  <c r="A23" i="16"/>
  <c r="L22" i="16"/>
  <c r="K22" i="16"/>
  <c r="H22" i="16"/>
  <c r="G22" i="16"/>
  <c r="F22" i="16"/>
  <c r="E22" i="16"/>
  <c r="D22" i="16"/>
  <c r="C22" i="16"/>
  <c r="B22" i="16"/>
  <c r="A22" i="16"/>
  <c r="L21" i="16"/>
  <c r="K21" i="16"/>
  <c r="H21" i="16"/>
  <c r="G21" i="16"/>
  <c r="F21" i="16"/>
  <c r="E21" i="16"/>
  <c r="D21" i="16"/>
  <c r="C21" i="16"/>
  <c r="B21" i="16"/>
  <c r="A21" i="16"/>
  <c r="L20" i="16"/>
  <c r="K20" i="16"/>
  <c r="H20" i="16"/>
  <c r="G20" i="16"/>
  <c r="F20" i="16"/>
  <c r="E20" i="16"/>
  <c r="D20" i="16"/>
  <c r="C20" i="16"/>
  <c r="B20" i="16"/>
  <c r="A20" i="16"/>
  <c r="L19" i="16"/>
  <c r="K19" i="16"/>
  <c r="H19" i="16"/>
  <c r="G19" i="16"/>
  <c r="F19" i="16"/>
  <c r="E19" i="16"/>
  <c r="D19" i="16"/>
  <c r="C19" i="16"/>
  <c r="B19" i="16"/>
  <c r="A19" i="16"/>
  <c r="L18" i="16"/>
  <c r="K18" i="16"/>
  <c r="H18" i="16"/>
  <c r="G18" i="16"/>
  <c r="F18" i="16"/>
  <c r="E18" i="16"/>
  <c r="D18" i="16"/>
  <c r="C18" i="16"/>
  <c r="B18" i="16"/>
  <c r="A18" i="16"/>
  <c r="L17" i="16"/>
  <c r="K17" i="16"/>
  <c r="H17" i="16"/>
  <c r="G17" i="16"/>
  <c r="F17" i="16"/>
  <c r="E17" i="16"/>
  <c r="D17" i="16"/>
  <c r="C17" i="16"/>
  <c r="B17" i="16"/>
  <c r="A17" i="16"/>
  <c r="L16" i="16"/>
  <c r="K16" i="16"/>
  <c r="H16" i="16"/>
  <c r="G16" i="16"/>
  <c r="F16" i="16"/>
  <c r="E16" i="16"/>
  <c r="D16" i="16"/>
  <c r="C16" i="16"/>
  <c r="B16" i="16"/>
  <c r="A16" i="16"/>
  <c r="L15" i="16"/>
  <c r="K15" i="16"/>
  <c r="H15" i="16"/>
  <c r="G15" i="16"/>
  <c r="F15" i="16"/>
  <c r="E15" i="16"/>
  <c r="D15" i="16"/>
  <c r="C15" i="16"/>
  <c r="B15" i="16"/>
  <c r="A15" i="16"/>
  <c r="L14" i="16"/>
  <c r="K14" i="16"/>
  <c r="H14" i="16"/>
  <c r="G14" i="16"/>
  <c r="F14" i="16"/>
  <c r="E14" i="16"/>
  <c r="D14" i="16"/>
  <c r="C14" i="16"/>
  <c r="B14" i="16"/>
  <c r="A14" i="16"/>
  <c r="L13" i="16"/>
  <c r="K13" i="16"/>
  <c r="H13" i="16"/>
  <c r="G13" i="16"/>
  <c r="F13" i="16"/>
  <c r="E13" i="16"/>
  <c r="D13" i="16"/>
  <c r="C13" i="16"/>
  <c r="B13" i="16"/>
  <c r="A13" i="16"/>
  <c r="L12" i="16"/>
  <c r="K12" i="16"/>
  <c r="H12" i="16"/>
  <c r="G12" i="16"/>
  <c r="F12" i="16"/>
  <c r="E12" i="16"/>
  <c r="D12" i="16"/>
  <c r="C12" i="16"/>
  <c r="B12" i="16"/>
  <c r="A12" i="16"/>
  <c r="L11" i="16"/>
  <c r="K11" i="16"/>
  <c r="H11" i="16"/>
  <c r="G11" i="16"/>
  <c r="F11" i="16"/>
  <c r="E11" i="16"/>
  <c r="D11" i="16"/>
  <c r="C11" i="16"/>
  <c r="B11" i="16"/>
  <c r="A11" i="16"/>
  <c r="L10" i="16"/>
  <c r="K10" i="16"/>
  <c r="H10" i="16"/>
  <c r="G10" i="16"/>
  <c r="F10" i="16"/>
  <c r="E10" i="16"/>
  <c r="D10" i="16"/>
  <c r="C10" i="16"/>
  <c r="B10" i="16"/>
  <c r="A10" i="16"/>
  <c r="L9" i="16"/>
  <c r="K9" i="16"/>
  <c r="H9" i="16"/>
  <c r="G9" i="16"/>
  <c r="F9" i="16"/>
  <c r="E9" i="16"/>
  <c r="D9" i="16"/>
  <c r="C9" i="16"/>
  <c r="B9" i="16"/>
  <c r="A9" i="16"/>
  <c r="L8" i="16"/>
  <c r="K8" i="16"/>
  <c r="H8" i="16"/>
  <c r="G8" i="16"/>
  <c r="F8" i="16"/>
  <c r="E8" i="16"/>
  <c r="D8" i="16"/>
  <c r="C8" i="16"/>
  <c r="B8" i="16"/>
  <c r="A8" i="16"/>
  <c r="K7" i="16"/>
  <c r="H7" i="16"/>
  <c r="G7" i="16"/>
  <c r="F7" i="16"/>
  <c r="E7" i="16"/>
  <c r="D7" i="16"/>
  <c r="C7" i="16"/>
  <c r="B7" i="16"/>
  <c r="A7" i="16"/>
  <c r="J2" i="16"/>
  <c r="D24" i="1" s="1"/>
  <c r="L110" i="15"/>
  <c r="K110" i="15"/>
  <c r="H110" i="15"/>
  <c r="G110" i="15"/>
  <c r="F110" i="15"/>
  <c r="E110" i="15"/>
  <c r="D110" i="15"/>
  <c r="C110" i="15"/>
  <c r="B110" i="15"/>
  <c r="A110" i="15"/>
  <c r="L109" i="15"/>
  <c r="K109" i="15"/>
  <c r="H109" i="15"/>
  <c r="G109" i="15"/>
  <c r="F109" i="15"/>
  <c r="E109" i="15"/>
  <c r="D109" i="15"/>
  <c r="C109" i="15"/>
  <c r="B109" i="15"/>
  <c r="A109" i="15"/>
  <c r="L108" i="15"/>
  <c r="K108" i="15"/>
  <c r="H108" i="15"/>
  <c r="G108" i="15"/>
  <c r="F108" i="15"/>
  <c r="E108" i="15"/>
  <c r="D108" i="15"/>
  <c r="C108" i="15"/>
  <c r="B108" i="15"/>
  <c r="A108" i="15"/>
  <c r="L107" i="15"/>
  <c r="K107" i="15"/>
  <c r="H107" i="15"/>
  <c r="G107" i="15"/>
  <c r="F107" i="15"/>
  <c r="E107" i="15"/>
  <c r="D107" i="15"/>
  <c r="C107" i="15"/>
  <c r="B107" i="15"/>
  <c r="A107" i="15"/>
  <c r="L106" i="15"/>
  <c r="K106" i="15"/>
  <c r="H106" i="15"/>
  <c r="G106" i="15"/>
  <c r="F106" i="15"/>
  <c r="E106" i="15"/>
  <c r="D106" i="15"/>
  <c r="C106" i="15"/>
  <c r="B106" i="15"/>
  <c r="A106" i="15"/>
  <c r="L105" i="15"/>
  <c r="K105" i="15"/>
  <c r="H105" i="15"/>
  <c r="G105" i="15"/>
  <c r="F105" i="15"/>
  <c r="E105" i="15"/>
  <c r="D105" i="15"/>
  <c r="C105" i="15"/>
  <c r="B105" i="15"/>
  <c r="A105" i="15"/>
  <c r="L104" i="15"/>
  <c r="K104" i="15"/>
  <c r="H104" i="15"/>
  <c r="G104" i="15"/>
  <c r="F104" i="15"/>
  <c r="E104" i="15"/>
  <c r="D104" i="15"/>
  <c r="C104" i="15"/>
  <c r="B104" i="15"/>
  <c r="A104" i="15"/>
  <c r="L103" i="15"/>
  <c r="K103" i="15"/>
  <c r="H103" i="15"/>
  <c r="G103" i="15"/>
  <c r="F103" i="15"/>
  <c r="E103" i="15"/>
  <c r="D103" i="15"/>
  <c r="C103" i="15"/>
  <c r="B103" i="15"/>
  <c r="A103" i="15"/>
  <c r="L102" i="15"/>
  <c r="K102" i="15"/>
  <c r="H102" i="15"/>
  <c r="G102" i="15"/>
  <c r="F102" i="15"/>
  <c r="E102" i="15"/>
  <c r="D102" i="15"/>
  <c r="C102" i="15"/>
  <c r="B102" i="15"/>
  <c r="A102" i="15"/>
  <c r="L101" i="15"/>
  <c r="K101" i="15"/>
  <c r="H101" i="15"/>
  <c r="G101" i="15"/>
  <c r="F101" i="15"/>
  <c r="E101" i="15"/>
  <c r="D101" i="15"/>
  <c r="C101" i="15"/>
  <c r="B101" i="15"/>
  <c r="A101" i="15"/>
  <c r="L100" i="15"/>
  <c r="K100" i="15"/>
  <c r="H100" i="15"/>
  <c r="G100" i="15"/>
  <c r="F100" i="15"/>
  <c r="E100" i="15"/>
  <c r="D100" i="15"/>
  <c r="C100" i="15"/>
  <c r="B100" i="15"/>
  <c r="A100" i="15"/>
  <c r="L99" i="15"/>
  <c r="K99" i="15"/>
  <c r="H99" i="15"/>
  <c r="G99" i="15"/>
  <c r="F99" i="15"/>
  <c r="E99" i="15"/>
  <c r="D99" i="15"/>
  <c r="C99" i="15"/>
  <c r="B99" i="15"/>
  <c r="A99" i="15"/>
  <c r="L98" i="15"/>
  <c r="K98" i="15"/>
  <c r="H98" i="15"/>
  <c r="G98" i="15"/>
  <c r="F98" i="15"/>
  <c r="E98" i="15"/>
  <c r="D98" i="15"/>
  <c r="C98" i="15"/>
  <c r="B98" i="15"/>
  <c r="A98" i="15"/>
  <c r="L97" i="15"/>
  <c r="K97" i="15"/>
  <c r="H97" i="15"/>
  <c r="G97" i="15"/>
  <c r="F97" i="15"/>
  <c r="E97" i="15"/>
  <c r="D97" i="15"/>
  <c r="C97" i="15"/>
  <c r="B97" i="15"/>
  <c r="A97" i="15"/>
  <c r="L96" i="15"/>
  <c r="K96" i="15"/>
  <c r="H96" i="15"/>
  <c r="G96" i="15"/>
  <c r="F96" i="15"/>
  <c r="E96" i="15"/>
  <c r="D96" i="15"/>
  <c r="C96" i="15"/>
  <c r="B96" i="15"/>
  <c r="A96" i="15"/>
  <c r="L95" i="15"/>
  <c r="K95" i="15"/>
  <c r="H95" i="15"/>
  <c r="G95" i="15"/>
  <c r="F95" i="15"/>
  <c r="E95" i="15"/>
  <c r="D95" i="15"/>
  <c r="C95" i="15"/>
  <c r="B95" i="15"/>
  <c r="A95" i="15"/>
  <c r="L94" i="15"/>
  <c r="K94" i="15"/>
  <c r="H94" i="15"/>
  <c r="G94" i="15"/>
  <c r="F94" i="15"/>
  <c r="E94" i="15"/>
  <c r="D94" i="15"/>
  <c r="C94" i="15"/>
  <c r="B94" i="15"/>
  <c r="A94" i="15"/>
  <c r="L93" i="15"/>
  <c r="K93" i="15"/>
  <c r="H93" i="15"/>
  <c r="G93" i="15"/>
  <c r="F93" i="15"/>
  <c r="E93" i="15"/>
  <c r="D93" i="15"/>
  <c r="C93" i="15"/>
  <c r="B93" i="15"/>
  <c r="A93" i="15"/>
  <c r="L92" i="15"/>
  <c r="K92" i="15"/>
  <c r="H92" i="15"/>
  <c r="G92" i="15"/>
  <c r="F92" i="15"/>
  <c r="E92" i="15"/>
  <c r="D92" i="15"/>
  <c r="C92" i="15"/>
  <c r="B92" i="15"/>
  <c r="A92" i="15"/>
  <c r="L91" i="15"/>
  <c r="K91" i="15"/>
  <c r="H91" i="15"/>
  <c r="G91" i="15"/>
  <c r="F91" i="15"/>
  <c r="E91" i="15"/>
  <c r="D91" i="15"/>
  <c r="C91" i="15"/>
  <c r="B91" i="15"/>
  <c r="A91" i="15"/>
  <c r="L90" i="15"/>
  <c r="K90" i="15"/>
  <c r="H90" i="15"/>
  <c r="G90" i="15"/>
  <c r="F90" i="15"/>
  <c r="E90" i="15"/>
  <c r="D90" i="15"/>
  <c r="C90" i="15"/>
  <c r="B90" i="15"/>
  <c r="A90" i="15"/>
  <c r="L89" i="15"/>
  <c r="K89" i="15"/>
  <c r="H89" i="15"/>
  <c r="G89" i="15"/>
  <c r="F89" i="15"/>
  <c r="E89" i="15"/>
  <c r="D89" i="15"/>
  <c r="C89" i="15"/>
  <c r="B89" i="15"/>
  <c r="A89" i="15"/>
  <c r="L88" i="15"/>
  <c r="K88" i="15"/>
  <c r="H88" i="15"/>
  <c r="G88" i="15"/>
  <c r="F88" i="15"/>
  <c r="E88" i="15"/>
  <c r="D88" i="15"/>
  <c r="C88" i="15"/>
  <c r="B88" i="15"/>
  <c r="A88" i="15"/>
  <c r="L87" i="15"/>
  <c r="K87" i="15"/>
  <c r="H87" i="15"/>
  <c r="G87" i="15"/>
  <c r="F87" i="15"/>
  <c r="E87" i="15"/>
  <c r="D87" i="15"/>
  <c r="C87" i="15"/>
  <c r="B87" i="15"/>
  <c r="A87" i="15"/>
  <c r="L86" i="15"/>
  <c r="K86" i="15"/>
  <c r="H86" i="15"/>
  <c r="G86" i="15"/>
  <c r="F86" i="15"/>
  <c r="E86" i="15"/>
  <c r="D86" i="15"/>
  <c r="C86" i="15"/>
  <c r="B86" i="15"/>
  <c r="A86" i="15"/>
  <c r="L85" i="15"/>
  <c r="K85" i="15"/>
  <c r="H85" i="15"/>
  <c r="G85" i="15"/>
  <c r="F85" i="15"/>
  <c r="E85" i="15"/>
  <c r="D85" i="15"/>
  <c r="C85" i="15"/>
  <c r="B85" i="15"/>
  <c r="A85" i="15"/>
  <c r="L84" i="15"/>
  <c r="K84" i="15"/>
  <c r="H84" i="15"/>
  <c r="G84" i="15"/>
  <c r="F84" i="15"/>
  <c r="E84" i="15"/>
  <c r="D84" i="15"/>
  <c r="C84" i="15"/>
  <c r="B84" i="15"/>
  <c r="A84" i="15"/>
  <c r="L83" i="15"/>
  <c r="K83" i="15"/>
  <c r="H83" i="15"/>
  <c r="G83" i="15"/>
  <c r="F83" i="15"/>
  <c r="E83" i="15"/>
  <c r="D83" i="15"/>
  <c r="C83" i="15"/>
  <c r="B83" i="15"/>
  <c r="A83" i="15"/>
  <c r="L82" i="15"/>
  <c r="K82" i="15"/>
  <c r="H82" i="15"/>
  <c r="G82" i="15"/>
  <c r="F82" i="15"/>
  <c r="E82" i="15"/>
  <c r="D82" i="15"/>
  <c r="C82" i="15"/>
  <c r="B82" i="15"/>
  <c r="A82" i="15"/>
  <c r="L81" i="15"/>
  <c r="K81" i="15"/>
  <c r="H81" i="15"/>
  <c r="G81" i="15"/>
  <c r="F81" i="15"/>
  <c r="E81" i="15"/>
  <c r="D81" i="15"/>
  <c r="C81" i="15"/>
  <c r="B81" i="15"/>
  <c r="A81" i="15"/>
  <c r="L80" i="15"/>
  <c r="K80" i="15"/>
  <c r="H80" i="15"/>
  <c r="G80" i="15"/>
  <c r="F80" i="15"/>
  <c r="E80" i="15"/>
  <c r="D80" i="15"/>
  <c r="C80" i="15"/>
  <c r="B80" i="15"/>
  <c r="A80" i="15"/>
  <c r="L79" i="15"/>
  <c r="K79" i="15"/>
  <c r="H79" i="15"/>
  <c r="G79" i="15"/>
  <c r="F79" i="15"/>
  <c r="E79" i="15"/>
  <c r="D79" i="15"/>
  <c r="C79" i="15"/>
  <c r="B79" i="15"/>
  <c r="A79" i="15"/>
  <c r="L78" i="15"/>
  <c r="K78" i="15"/>
  <c r="H78" i="15"/>
  <c r="G78" i="15"/>
  <c r="F78" i="15"/>
  <c r="E78" i="15"/>
  <c r="D78" i="15"/>
  <c r="C78" i="15"/>
  <c r="B78" i="15"/>
  <c r="A78" i="15"/>
  <c r="L77" i="15"/>
  <c r="K77" i="15"/>
  <c r="H77" i="15"/>
  <c r="G77" i="15"/>
  <c r="F77" i="15"/>
  <c r="E77" i="15"/>
  <c r="D77" i="15"/>
  <c r="C77" i="15"/>
  <c r="B77" i="15"/>
  <c r="A77" i="15"/>
  <c r="L76" i="15"/>
  <c r="K76" i="15"/>
  <c r="H76" i="15"/>
  <c r="G76" i="15"/>
  <c r="F76" i="15"/>
  <c r="E76" i="15"/>
  <c r="D76" i="15"/>
  <c r="C76" i="15"/>
  <c r="B76" i="15"/>
  <c r="A76" i="15"/>
  <c r="L75" i="15"/>
  <c r="K75" i="15"/>
  <c r="H75" i="15"/>
  <c r="G75" i="15"/>
  <c r="F75" i="15"/>
  <c r="E75" i="15"/>
  <c r="D75" i="15"/>
  <c r="C75" i="15"/>
  <c r="B75" i="15"/>
  <c r="A75" i="15"/>
  <c r="L74" i="15"/>
  <c r="K74" i="15"/>
  <c r="H74" i="15"/>
  <c r="G74" i="15"/>
  <c r="F74" i="15"/>
  <c r="E74" i="15"/>
  <c r="D74" i="15"/>
  <c r="C74" i="15"/>
  <c r="B74" i="15"/>
  <c r="A74" i="15"/>
  <c r="L73" i="15"/>
  <c r="K73" i="15"/>
  <c r="H73" i="15"/>
  <c r="G73" i="15"/>
  <c r="F73" i="15"/>
  <c r="E73" i="15"/>
  <c r="D73" i="15"/>
  <c r="C73" i="15"/>
  <c r="B73" i="15"/>
  <c r="A73" i="15"/>
  <c r="L72" i="15"/>
  <c r="K72" i="15"/>
  <c r="H72" i="15"/>
  <c r="G72" i="15"/>
  <c r="F72" i="15"/>
  <c r="E72" i="15"/>
  <c r="D72" i="15"/>
  <c r="C72" i="15"/>
  <c r="B72" i="15"/>
  <c r="A72" i="15"/>
  <c r="L71" i="15"/>
  <c r="K71" i="15"/>
  <c r="H71" i="15"/>
  <c r="G71" i="15"/>
  <c r="F71" i="15"/>
  <c r="E71" i="15"/>
  <c r="D71" i="15"/>
  <c r="C71" i="15"/>
  <c r="B71" i="15"/>
  <c r="A71" i="15"/>
  <c r="L70" i="15"/>
  <c r="K70" i="15"/>
  <c r="H70" i="15"/>
  <c r="G70" i="15"/>
  <c r="F70" i="15"/>
  <c r="E70" i="15"/>
  <c r="D70" i="15"/>
  <c r="C70" i="15"/>
  <c r="B70" i="15"/>
  <c r="A70" i="15"/>
  <c r="L69" i="15"/>
  <c r="K69" i="15"/>
  <c r="H69" i="15"/>
  <c r="G69" i="15"/>
  <c r="F69" i="15"/>
  <c r="E69" i="15"/>
  <c r="D69" i="15"/>
  <c r="C69" i="15"/>
  <c r="B69" i="15"/>
  <c r="A69" i="15"/>
  <c r="L68" i="15"/>
  <c r="K68" i="15"/>
  <c r="H68" i="15"/>
  <c r="G68" i="15"/>
  <c r="F68" i="15"/>
  <c r="E68" i="15"/>
  <c r="D68" i="15"/>
  <c r="C68" i="15"/>
  <c r="B68" i="15"/>
  <c r="A68" i="15"/>
  <c r="L67" i="15"/>
  <c r="K67" i="15"/>
  <c r="H67" i="15"/>
  <c r="G67" i="15"/>
  <c r="F67" i="15"/>
  <c r="E67" i="15"/>
  <c r="D67" i="15"/>
  <c r="C67" i="15"/>
  <c r="B67" i="15"/>
  <c r="A67" i="15"/>
  <c r="L66" i="15"/>
  <c r="K66" i="15"/>
  <c r="H66" i="15"/>
  <c r="G66" i="15"/>
  <c r="F66" i="15"/>
  <c r="E66" i="15"/>
  <c r="D66" i="15"/>
  <c r="C66" i="15"/>
  <c r="B66" i="15"/>
  <c r="A66" i="15"/>
  <c r="L65" i="15"/>
  <c r="K65" i="15"/>
  <c r="H65" i="15"/>
  <c r="G65" i="15"/>
  <c r="F65" i="15"/>
  <c r="E65" i="15"/>
  <c r="D65" i="15"/>
  <c r="C65" i="15"/>
  <c r="B65" i="15"/>
  <c r="A65" i="15"/>
  <c r="L64" i="15"/>
  <c r="K64" i="15"/>
  <c r="H64" i="15"/>
  <c r="G64" i="15"/>
  <c r="F64" i="15"/>
  <c r="E64" i="15"/>
  <c r="D64" i="15"/>
  <c r="C64" i="15"/>
  <c r="B64" i="15"/>
  <c r="A64" i="15"/>
  <c r="L63" i="15"/>
  <c r="K63" i="15"/>
  <c r="H63" i="15"/>
  <c r="G63" i="15"/>
  <c r="F63" i="15"/>
  <c r="E63" i="15"/>
  <c r="D63" i="15"/>
  <c r="C63" i="15"/>
  <c r="B63" i="15"/>
  <c r="A63" i="15"/>
  <c r="L62" i="15"/>
  <c r="K62" i="15"/>
  <c r="H62" i="15"/>
  <c r="G62" i="15"/>
  <c r="F62" i="15"/>
  <c r="E62" i="15"/>
  <c r="D62" i="15"/>
  <c r="C62" i="15"/>
  <c r="B62" i="15"/>
  <c r="A62" i="15"/>
  <c r="L61" i="15"/>
  <c r="K61" i="15"/>
  <c r="H61" i="15"/>
  <c r="G61" i="15"/>
  <c r="F61" i="15"/>
  <c r="E61" i="15"/>
  <c r="D61" i="15"/>
  <c r="C61" i="15"/>
  <c r="B61" i="15"/>
  <c r="A61" i="15"/>
  <c r="L60" i="15"/>
  <c r="K60" i="15"/>
  <c r="H60" i="15"/>
  <c r="G60" i="15"/>
  <c r="F60" i="15"/>
  <c r="E60" i="15"/>
  <c r="D60" i="15"/>
  <c r="C60" i="15"/>
  <c r="B60" i="15"/>
  <c r="A60" i="15"/>
  <c r="L59" i="15"/>
  <c r="K59" i="15"/>
  <c r="H59" i="15"/>
  <c r="G59" i="15"/>
  <c r="F59" i="15"/>
  <c r="E59" i="15"/>
  <c r="D59" i="15"/>
  <c r="C59" i="15"/>
  <c r="B59" i="15"/>
  <c r="A59" i="15"/>
  <c r="L58" i="15"/>
  <c r="K58" i="15"/>
  <c r="H58" i="15"/>
  <c r="G58" i="15"/>
  <c r="F58" i="15"/>
  <c r="E58" i="15"/>
  <c r="D58" i="15"/>
  <c r="C58" i="15"/>
  <c r="B58" i="15"/>
  <c r="A58" i="15"/>
  <c r="L57" i="15"/>
  <c r="K57" i="15"/>
  <c r="H57" i="15"/>
  <c r="G57" i="15"/>
  <c r="F57" i="15"/>
  <c r="E57" i="15"/>
  <c r="D57" i="15"/>
  <c r="C57" i="15"/>
  <c r="B57" i="15"/>
  <c r="A57" i="15"/>
  <c r="L56" i="15"/>
  <c r="K56" i="15"/>
  <c r="H56" i="15"/>
  <c r="G56" i="15"/>
  <c r="F56" i="15"/>
  <c r="E56" i="15"/>
  <c r="D56" i="15"/>
  <c r="C56" i="15"/>
  <c r="B56" i="15"/>
  <c r="A56" i="15"/>
  <c r="L55" i="15"/>
  <c r="K55" i="15"/>
  <c r="H55" i="15"/>
  <c r="G55" i="15"/>
  <c r="F55" i="15"/>
  <c r="E55" i="15"/>
  <c r="D55" i="15"/>
  <c r="C55" i="15"/>
  <c r="B55" i="15"/>
  <c r="A55" i="15"/>
  <c r="L54" i="15"/>
  <c r="K54" i="15"/>
  <c r="H54" i="15"/>
  <c r="G54" i="15"/>
  <c r="F54" i="15"/>
  <c r="E54" i="15"/>
  <c r="D54" i="15"/>
  <c r="C54" i="15"/>
  <c r="B54" i="15"/>
  <c r="A54" i="15"/>
  <c r="L53" i="15"/>
  <c r="K53" i="15"/>
  <c r="H53" i="15"/>
  <c r="G53" i="15"/>
  <c r="F53" i="15"/>
  <c r="E53" i="15"/>
  <c r="D53" i="15"/>
  <c r="C53" i="15"/>
  <c r="B53" i="15"/>
  <c r="A53" i="15"/>
  <c r="L52" i="15"/>
  <c r="K52" i="15"/>
  <c r="H52" i="15"/>
  <c r="G52" i="15"/>
  <c r="F52" i="15"/>
  <c r="E52" i="15"/>
  <c r="D52" i="15"/>
  <c r="C52" i="15"/>
  <c r="B52" i="15"/>
  <c r="A52" i="15"/>
  <c r="L51" i="15"/>
  <c r="K51" i="15"/>
  <c r="H51" i="15"/>
  <c r="G51" i="15"/>
  <c r="F51" i="15"/>
  <c r="E51" i="15"/>
  <c r="D51" i="15"/>
  <c r="C51" i="15"/>
  <c r="B51" i="15"/>
  <c r="A51" i="15"/>
  <c r="L50" i="15"/>
  <c r="K50" i="15"/>
  <c r="H50" i="15"/>
  <c r="G50" i="15"/>
  <c r="F50" i="15"/>
  <c r="E50" i="15"/>
  <c r="D50" i="15"/>
  <c r="C50" i="15"/>
  <c r="B50" i="15"/>
  <c r="A50" i="15"/>
  <c r="L49" i="15"/>
  <c r="K49" i="15"/>
  <c r="H49" i="15"/>
  <c r="G49" i="15"/>
  <c r="F49" i="15"/>
  <c r="E49" i="15"/>
  <c r="D49" i="15"/>
  <c r="C49" i="15"/>
  <c r="B49" i="15"/>
  <c r="A49" i="15"/>
  <c r="L48" i="15"/>
  <c r="K48" i="15"/>
  <c r="H48" i="15"/>
  <c r="G48" i="15"/>
  <c r="F48" i="15"/>
  <c r="E48" i="15"/>
  <c r="D48" i="15"/>
  <c r="C48" i="15"/>
  <c r="B48" i="15"/>
  <c r="A48" i="15"/>
  <c r="L47" i="15"/>
  <c r="K47" i="15"/>
  <c r="H47" i="15"/>
  <c r="G47" i="15"/>
  <c r="F47" i="15"/>
  <c r="E47" i="15"/>
  <c r="D47" i="15"/>
  <c r="C47" i="15"/>
  <c r="B47" i="15"/>
  <c r="A47" i="15"/>
  <c r="L46" i="15"/>
  <c r="K46" i="15"/>
  <c r="H46" i="15"/>
  <c r="G46" i="15"/>
  <c r="F46" i="15"/>
  <c r="E46" i="15"/>
  <c r="D46" i="15"/>
  <c r="C46" i="15"/>
  <c r="B46" i="15"/>
  <c r="A46" i="15"/>
  <c r="L45" i="15"/>
  <c r="K45" i="15"/>
  <c r="H45" i="15"/>
  <c r="G45" i="15"/>
  <c r="F45" i="15"/>
  <c r="E45" i="15"/>
  <c r="D45" i="15"/>
  <c r="C45" i="15"/>
  <c r="B45" i="15"/>
  <c r="A45" i="15"/>
  <c r="L44" i="15"/>
  <c r="K44" i="15"/>
  <c r="H44" i="15"/>
  <c r="G44" i="15"/>
  <c r="F44" i="15"/>
  <c r="E44" i="15"/>
  <c r="D44" i="15"/>
  <c r="C44" i="15"/>
  <c r="B44" i="15"/>
  <c r="A44" i="15"/>
  <c r="L43" i="15"/>
  <c r="K43" i="15"/>
  <c r="H43" i="15"/>
  <c r="G43" i="15"/>
  <c r="F43" i="15"/>
  <c r="E43" i="15"/>
  <c r="D43" i="15"/>
  <c r="C43" i="15"/>
  <c r="B43" i="15"/>
  <c r="A43" i="15"/>
  <c r="L42" i="15"/>
  <c r="K42" i="15"/>
  <c r="H42" i="15"/>
  <c r="G42" i="15"/>
  <c r="F42" i="15"/>
  <c r="E42" i="15"/>
  <c r="D42" i="15"/>
  <c r="C42" i="15"/>
  <c r="B42" i="15"/>
  <c r="A42" i="15"/>
  <c r="L41" i="15"/>
  <c r="K41" i="15"/>
  <c r="H41" i="15"/>
  <c r="G41" i="15"/>
  <c r="F41" i="15"/>
  <c r="E41" i="15"/>
  <c r="D41" i="15"/>
  <c r="C41" i="15"/>
  <c r="B41" i="15"/>
  <c r="A41" i="15"/>
  <c r="L40" i="15"/>
  <c r="K40" i="15"/>
  <c r="H40" i="15"/>
  <c r="G40" i="15"/>
  <c r="F40" i="15"/>
  <c r="E40" i="15"/>
  <c r="D40" i="15"/>
  <c r="C40" i="15"/>
  <c r="B40" i="15"/>
  <c r="A40" i="15"/>
  <c r="L39" i="15"/>
  <c r="K39" i="15"/>
  <c r="H39" i="15"/>
  <c r="G39" i="15"/>
  <c r="F39" i="15"/>
  <c r="E39" i="15"/>
  <c r="D39" i="15"/>
  <c r="C39" i="15"/>
  <c r="B39" i="15"/>
  <c r="A39" i="15"/>
  <c r="L38" i="15"/>
  <c r="K38" i="15"/>
  <c r="H38" i="15"/>
  <c r="G38" i="15"/>
  <c r="F38" i="15"/>
  <c r="E38" i="15"/>
  <c r="D38" i="15"/>
  <c r="C38" i="15"/>
  <c r="B38" i="15"/>
  <c r="A38" i="15"/>
  <c r="L37" i="15"/>
  <c r="K37" i="15"/>
  <c r="H37" i="15"/>
  <c r="G37" i="15"/>
  <c r="F37" i="15"/>
  <c r="E37" i="15"/>
  <c r="D37" i="15"/>
  <c r="C37" i="15"/>
  <c r="B37" i="15"/>
  <c r="A37" i="15"/>
  <c r="L36" i="15"/>
  <c r="K36" i="15"/>
  <c r="H36" i="15"/>
  <c r="G36" i="15"/>
  <c r="F36" i="15"/>
  <c r="E36" i="15"/>
  <c r="D36" i="15"/>
  <c r="C36" i="15"/>
  <c r="B36" i="15"/>
  <c r="A36" i="15"/>
  <c r="L35" i="15"/>
  <c r="K35" i="15"/>
  <c r="H35" i="15"/>
  <c r="G35" i="15"/>
  <c r="F35" i="15"/>
  <c r="E35" i="15"/>
  <c r="D35" i="15"/>
  <c r="C35" i="15"/>
  <c r="B35" i="15"/>
  <c r="A35" i="15"/>
  <c r="L34" i="15"/>
  <c r="K34" i="15"/>
  <c r="H34" i="15"/>
  <c r="G34" i="15"/>
  <c r="F34" i="15"/>
  <c r="E34" i="15"/>
  <c r="D34" i="15"/>
  <c r="C34" i="15"/>
  <c r="B34" i="15"/>
  <c r="A34" i="15"/>
  <c r="L33" i="15"/>
  <c r="K33" i="15"/>
  <c r="H33" i="15"/>
  <c r="G33" i="15"/>
  <c r="F33" i="15"/>
  <c r="E33" i="15"/>
  <c r="D33" i="15"/>
  <c r="C33" i="15"/>
  <c r="B33" i="15"/>
  <c r="A33" i="15"/>
  <c r="L32" i="15"/>
  <c r="K32" i="15"/>
  <c r="H32" i="15"/>
  <c r="G32" i="15"/>
  <c r="F32" i="15"/>
  <c r="E32" i="15"/>
  <c r="D32" i="15"/>
  <c r="C32" i="15"/>
  <c r="B32" i="15"/>
  <c r="A32" i="15"/>
  <c r="L31" i="15"/>
  <c r="K31" i="15"/>
  <c r="H31" i="15"/>
  <c r="G31" i="15"/>
  <c r="F31" i="15"/>
  <c r="E31" i="15"/>
  <c r="D31" i="15"/>
  <c r="C31" i="15"/>
  <c r="B31" i="15"/>
  <c r="A31" i="15"/>
  <c r="L30" i="15"/>
  <c r="K30" i="15"/>
  <c r="H30" i="15"/>
  <c r="G30" i="15"/>
  <c r="F30" i="15"/>
  <c r="E30" i="15"/>
  <c r="D30" i="15"/>
  <c r="C30" i="15"/>
  <c r="B30" i="15"/>
  <c r="A30" i="15"/>
  <c r="L29" i="15"/>
  <c r="K29" i="15"/>
  <c r="H29" i="15"/>
  <c r="G29" i="15"/>
  <c r="F29" i="15"/>
  <c r="E29" i="15"/>
  <c r="D29" i="15"/>
  <c r="C29" i="15"/>
  <c r="B29" i="15"/>
  <c r="A29" i="15"/>
  <c r="L28" i="15"/>
  <c r="K28" i="15"/>
  <c r="H28" i="15"/>
  <c r="G28" i="15"/>
  <c r="F28" i="15"/>
  <c r="E28" i="15"/>
  <c r="D28" i="15"/>
  <c r="C28" i="15"/>
  <c r="B28" i="15"/>
  <c r="A28" i="15"/>
  <c r="L27" i="15"/>
  <c r="K27" i="15"/>
  <c r="H27" i="15"/>
  <c r="G27" i="15"/>
  <c r="F27" i="15"/>
  <c r="E27" i="15"/>
  <c r="D27" i="15"/>
  <c r="C27" i="15"/>
  <c r="B27" i="15"/>
  <c r="A27" i="15"/>
  <c r="L26" i="15"/>
  <c r="K26" i="15"/>
  <c r="H26" i="15"/>
  <c r="G26" i="15"/>
  <c r="F26" i="15"/>
  <c r="E26" i="15"/>
  <c r="D26" i="15"/>
  <c r="C26" i="15"/>
  <c r="B26" i="15"/>
  <c r="A26" i="15"/>
  <c r="L25" i="15"/>
  <c r="K25" i="15"/>
  <c r="H25" i="15"/>
  <c r="G25" i="15"/>
  <c r="F25" i="15"/>
  <c r="E25" i="15"/>
  <c r="D25" i="15"/>
  <c r="C25" i="15"/>
  <c r="B25" i="15"/>
  <c r="A25" i="15"/>
  <c r="L24" i="15"/>
  <c r="K24" i="15"/>
  <c r="H24" i="15"/>
  <c r="G24" i="15"/>
  <c r="F24" i="15"/>
  <c r="E24" i="15"/>
  <c r="D24" i="15"/>
  <c r="C24" i="15"/>
  <c r="B24" i="15"/>
  <c r="A24" i="15"/>
  <c r="L23" i="15"/>
  <c r="K23" i="15"/>
  <c r="H23" i="15"/>
  <c r="G23" i="15"/>
  <c r="F23" i="15"/>
  <c r="E23" i="15"/>
  <c r="D23" i="15"/>
  <c r="C23" i="15"/>
  <c r="B23" i="15"/>
  <c r="A23" i="15"/>
  <c r="L22" i="15"/>
  <c r="K22" i="15"/>
  <c r="H22" i="15"/>
  <c r="G22" i="15"/>
  <c r="F22" i="15"/>
  <c r="E22" i="15"/>
  <c r="D22" i="15"/>
  <c r="C22" i="15"/>
  <c r="B22" i="15"/>
  <c r="A22" i="15"/>
  <c r="L21" i="15"/>
  <c r="K21" i="15"/>
  <c r="H21" i="15"/>
  <c r="G21" i="15"/>
  <c r="F21" i="15"/>
  <c r="E21" i="15"/>
  <c r="D21" i="15"/>
  <c r="C21" i="15"/>
  <c r="B21" i="15"/>
  <c r="A21" i="15"/>
  <c r="L20" i="15"/>
  <c r="K20" i="15"/>
  <c r="H20" i="15"/>
  <c r="G20" i="15"/>
  <c r="F20" i="15"/>
  <c r="E20" i="15"/>
  <c r="D20" i="15"/>
  <c r="C20" i="15"/>
  <c r="B20" i="15"/>
  <c r="A20" i="15"/>
  <c r="L19" i="15"/>
  <c r="K19" i="15"/>
  <c r="H19" i="15"/>
  <c r="G19" i="15"/>
  <c r="F19" i="15"/>
  <c r="E19" i="15"/>
  <c r="D19" i="15"/>
  <c r="C19" i="15"/>
  <c r="B19" i="15"/>
  <c r="A19" i="15"/>
  <c r="L18" i="15"/>
  <c r="K18" i="15"/>
  <c r="H18" i="15"/>
  <c r="G18" i="15"/>
  <c r="F18" i="15"/>
  <c r="E18" i="15"/>
  <c r="D18" i="15"/>
  <c r="C18" i="15"/>
  <c r="B18" i="15"/>
  <c r="A18" i="15"/>
  <c r="L17" i="15"/>
  <c r="K17" i="15"/>
  <c r="H17" i="15"/>
  <c r="G17" i="15"/>
  <c r="F17" i="15"/>
  <c r="E17" i="15"/>
  <c r="D17" i="15"/>
  <c r="C17" i="15"/>
  <c r="B17" i="15"/>
  <c r="A17" i="15"/>
  <c r="L16" i="15"/>
  <c r="K16" i="15"/>
  <c r="H16" i="15"/>
  <c r="G16" i="15"/>
  <c r="F16" i="15"/>
  <c r="E16" i="15"/>
  <c r="D16" i="15"/>
  <c r="C16" i="15"/>
  <c r="B16" i="15"/>
  <c r="A16" i="15"/>
  <c r="L15" i="15"/>
  <c r="K15" i="15"/>
  <c r="H15" i="15"/>
  <c r="G15" i="15"/>
  <c r="F15" i="15"/>
  <c r="E15" i="15"/>
  <c r="D15" i="15"/>
  <c r="C15" i="15"/>
  <c r="B15" i="15"/>
  <c r="A15" i="15"/>
  <c r="L14" i="15"/>
  <c r="K14" i="15"/>
  <c r="H14" i="15"/>
  <c r="G14" i="15"/>
  <c r="F14" i="15"/>
  <c r="E14" i="15"/>
  <c r="D14" i="15"/>
  <c r="C14" i="15"/>
  <c r="B14" i="15"/>
  <c r="A14" i="15"/>
  <c r="L13" i="15"/>
  <c r="K13" i="15"/>
  <c r="H13" i="15"/>
  <c r="G13" i="15"/>
  <c r="F13" i="15"/>
  <c r="E13" i="15"/>
  <c r="D13" i="15"/>
  <c r="C13" i="15"/>
  <c r="B13" i="15"/>
  <c r="A13" i="15"/>
  <c r="L12" i="15"/>
  <c r="K12" i="15"/>
  <c r="H12" i="15"/>
  <c r="G12" i="15"/>
  <c r="F12" i="15"/>
  <c r="E12" i="15"/>
  <c r="D12" i="15"/>
  <c r="C12" i="15"/>
  <c r="B12" i="15"/>
  <c r="A12" i="15"/>
  <c r="L11" i="15"/>
  <c r="K11" i="15"/>
  <c r="H11" i="15"/>
  <c r="G11" i="15"/>
  <c r="F11" i="15"/>
  <c r="E11" i="15"/>
  <c r="D11" i="15"/>
  <c r="C11" i="15"/>
  <c r="B11" i="15"/>
  <c r="A11" i="15"/>
  <c r="L10" i="15"/>
  <c r="K10" i="15"/>
  <c r="H10" i="15"/>
  <c r="G10" i="15"/>
  <c r="F10" i="15"/>
  <c r="E10" i="15"/>
  <c r="D10" i="15"/>
  <c r="C10" i="15"/>
  <c r="B10" i="15"/>
  <c r="A10" i="15"/>
  <c r="L9" i="15"/>
  <c r="K9" i="15"/>
  <c r="H9" i="15"/>
  <c r="G9" i="15"/>
  <c r="F9" i="15"/>
  <c r="E9" i="15"/>
  <c r="D9" i="15"/>
  <c r="C9" i="15"/>
  <c r="B9" i="15"/>
  <c r="A9" i="15"/>
  <c r="L8" i="15"/>
  <c r="K8" i="15"/>
  <c r="H8" i="15"/>
  <c r="G8" i="15"/>
  <c r="F8" i="15"/>
  <c r="E8" i="15"/>
  <c r="D8" i="15"/>
  <c r="C8" i="15"/>
  <c r="B8" i="15"/>
  <c r="A8" i="15"/>
  <c r="K7" i="15"/>
  <c r="H7" i="15"/>
  <c r="G7" i="15"/>
  <c r="F7" i="15"/>
  <c r="E7" i="15"/>
  <c r="D7" i="15"/>
  <c r="C7" i="15"/>
  <c r="B7" i="15"/>
  <c r="A7" i="15"/>
  <c r="J2" i="15"/>
  <c r="D23" i="1" s="1"/>
  <c r="L110" i="14"/>
  <c r="K110" i="14"/>
  <c r="H110" i="14"/>
  <c r="G110" i="14"/>
  <c r="F110" i="14"/>
  <c r="E110" i="14"/>
  <c r="D110" i="14"/>
  <c r="C110" i="14"/>
  <c r="B110" i="14"/>
  <c r="A110" i="14"/>
  <c r="L109" i="14"/>
  <c r="K109" i="14"/>
  <c r="H109" i="14"/>
  <c r="G109" i="14"/>
  <c r="F109" i="14"/>
  <c r="E109" i="14"/>
  <c r="D109" i="14"/>
  <c r="C109" i="14"/>
  <c r="B109" i="14"/>
  <c r="A109" i="14"/>
  <c r="L108" i="14"/>
  <c r="K108" i="14"/>
  <c r="H108" i="14"/>
  <c r="G108" i="14"/>
  <c r="F108" i="14"/>
  <c r="E108" i="14"/>
  <c r="D108" i="14"/>
  <c r="C108" i="14"/>
  <c r="B108" i="14"/>
  <c r="A108" i="14"/>
  <c r="L107" i="14"/>
  <c r="K107" i="14"/>
  <c r="H107" i="14"/>
  <c r="G107" i="14"/>
  <c r="F107" i="14"/>
  <c r="E107" i="14"/>
  <c r="D107" i="14"/>
  <c r="C107" i="14"/>
  <c r="B107" i="14"/>
  <c r="A107" i="14"/>
  <c r="L106" i="14"/>
  <c r="K106" i="14"/>
  <c r="H106" i="14"/>
  <c r="G106" i="14"/>
  <c r="F106" i="14"/>
  <c r="E106" i="14"/>
  <c r="D106" i="14"/>
  <c r="C106" i="14"/>
  <c r="B106" i="14"/>
  <c r="A106" i="14"/>
  <c r="L105" i="14"/>
  <c r="K105" i="14"/>
  <c r="H105" i="14"/>
  <c r="G105" i="14"/>
  <c r="F105" i="14"/>
  <c r="E105" i="14"/>
  <c r="D105" i="14"/>
  <c r="C105" i="14"/>
  <c r="B105" i="14"/>
  <c r="A105" i="14"/>
  <c r="L104" i="14"/>
  <c r="K104" i="14"/>
  <c r="H104" i="14"/>
  <c r="G104" i="14"/>
  <c r="F104" i="14"/>
  <c r="E104" i="14"/>
  <c r="D104" i="14"/>
  <c r="C104" i="14"/>
  <c r="B104" i="14"/>
  <c r="A104" i="14"/>
  <c r="L103" i="14"/>
  <c r="K103" i="14"/>
  <c r="H103" i="14"/>
  <c r="G103" i="14"/>
  <c r="F103" i="14"/>
  <c r="E103" i="14"/>
  <c r="D103" i="14"/>
  <c r="C103" i="14"/>
  <c r="B103" i="14"/>
  <c r="A103" i="14"/>
  <c r="L102" i="14"/>
  <c r="K102" i="14"/>
  <c r="H102" i="14"/>
  <c r="G102" i="14"/>
  <c r="F102" i="14"/>
  <c r="E102" i="14"/>
  <c r="D102" i="14"/>
  <c r="C102" i="14"/>
  <c r="B102" i="14"/>
  <c r="A102" i="14"/>
  <c r="L101" i="14"/>
  <c r="K101" i="14"/>
  <c r="H101" i="14"/>
  <c r="G101" i="14"/>
  <c r="F101" i="14"/>
  <c r="E101" i="14"/>
  <c r="D101" i="14"/>
  <c r="C101" i="14"/>
  <c r="B101" i="14"/>
  <c r="A101" i="14"/>
  <c r="L100" i="14"/>
  <c r="K100" i="14"/>
  <c r="H100" i="14"/>
  <c r="G100" i="14"/>
  <c r="F100" i="14"/>
  <c r="E100" i="14"/>
  <c r="D100" i="14"/>
  <c r="C100" i="14"/>
  <c r="B100" i="14"/>
  <c r="A100" i="14"/>
  <c r="L99" i="14"/>
  <c r="K99" i="14"/>
  <c r="H99" i="14"/>
  <c r="G99" i="14"/>
  <c r="F99" i="14"/>
  <c r="E99" i="14"/>
  <c r="D99" i="14"/>
  <c r="C99" i="14"/>
  <c r="B99" i="14"/>
  <c r="A99" i="14"/>
  <c r="L98" i="14"/>
  <c r="K98" i="14"/>
  <c r="H98" i="14"/>
  <c r="G98" i="14"/>
  <c r="F98" i="14"/>
  <c r="E98" i="14"/>
  <c r="D98" i="14"/>
  <c r="C98" i="14"/>
  <c r="B98" i="14"/>
  <c r="A98" i="14"/>
  <c r="L97" i="14"/>
  <c r="K97" i="14"/>
  <c r="H97" i="14"/>
  <c r="G97" i="14"/>
  <c r="F97" i="14"/>
  <c r="E97" i="14"/>
  <c r="D97" i="14"/>
  <c r="C97" i="14"/>
  <c r="B97" i="14"/>
  <c r="A97" i="14"/>
  <c r="L96" i="14"/>
  <c r="K96" i="14"/>
  <c r="H96" i="14"/>
  <c r="G96" i="14"/>
  <c r="F96" i="14"/>
  <c r="E96" i="14"/>
  <c r="D96" i="14"/>
  <c r="C96" i="14"/>
  <c r="B96" i="14"/>
  <c r="A96" i="14"/>
  <c r="L95" i="14"/>
  <c r="K95" i="14"/>
  <c r="H95" i="14"/>
  <c r="G95" i="14"/>
  <c r="F95" i="14"/>
  <c r="E95" i="14"/>
  <c r="D95" i="14"/>
  <c r="C95" i="14"/>
  <c r="B95" i="14"/>
  <c r="A95" i="14"/>
  <c r="L94" i="14"/>
  <c r="K94" i="14"/>
  <c r="H94" i="14"/>
  <c r="G94" i="14"/>
  <c r="F94" i="14"/>
  <c r="E94" i="14"/>
  <c r="D94" i="14"/>
  <c r="C94" i="14"/>
  <c r="B94" i="14"/>
  <c r="A94" i="14"/>
  <c r="L93" i="14"/>
  <c r="K93" i="14"/>
  <c r="H93" i="14"/>
  <c r="G93" i="14"/>
  <c r="F93" i="14"/>
  <c r="E93" i="14"/>
  <c r="D93" i="14"/>
  <c r="C93" i="14"/>
  <c r="B93" i="14"/>
  <c r="A93" i="14"/>
  <c r="L92" i="14"/>
  <c r="K92" i="14"/>
  <c r="H92" i="14"/>
  <c r="G92" i="14"/>
  <c r="F92" i="14"/>
  <c r="E92" i="14"/>
  <c r="D92" i="14"/>
  <c r="C92" i="14"/>
  <c r="B92" i="14"/>
  <c r="A92" i="14"/>
  <c r="L91" i="14"/>
  <c r="K91" i="14"/>
  <c r="H91" i="14"/>
  <c r="G91" i="14"/>
  <c r="F91" i="14"/>
  <c r="E91" i="14"/>
  <c r="D91" i="14"/>
  <c r="C91" i="14"/>
  <c r="B91" i="14"/>
  <c r="A91" i="14"/>
  <c r="L90" i="14"/>
  <c r="K90" i="14"/>
  <c r="H90" i="14"/>
  <c r="G90" i="14"/>
  <c r="F90" i="14"/>
  <c r="E90" i="14"/>
  <c r="D90" i="14"/>
  <c r="C90" i="14"/>
  <c r="B90" i="14"/>
  <c r="A90" i="14"/>
  <c r="L89" i="14"/>
  <c r="K89" i="14"/>
  <c r="H89" i="14"/>
  <c r="G89" i="14"/>
  <c r="F89" i="14"/>
  <c r="E89" i="14"/>
  <c r="D89" i="14"/>
  <c r="C89" i="14"/>
  <c r="B89" i="14"/>
  <c r="A89" i="14"/>
  <c r="L88" i="14"/>
  <c r="K88" i="14"/>
  <c r="H88" i="14"/>
  <c r="G88" i="14"/>
  <c r="F88" i="14"/>
  <c r="E88" i="14"/>
  <c r="D88" i="14"/>
  <c r="C88" i="14"/>
  <c r="B88" i="14"/>
  <c r="A88" i="14"/>
  <c r="L87" i="14"/>
  <c r="K87" i="14"/>
  <c r="H87" i="14"/>
  <c r="G87" i="14"/>
  <c r="F87" i="14"/>
  <c r="E87" i="14"/>
  <c r="D87" i="14"/>
  <c r="C87" i="14"/>
  <c r="B87" i="14"/>
  <c r="A87" i="14"/>
  <c r="L86" i="14"/>
  <c r="K86" i="14"/>
  <c r="H86" i="14"/>
  <c r="G86" i="14"/>
  <c r="F86" i="14"/>
  <c r="E86" i="14"/>
  <c r="D86" i="14"/>
  <c r="C86" i="14"/>
  <c r="B86" i="14"/>
  <c r="A86" i="14"/>
  <c r="L85" i="14"/>
  <c r="K85" i="14"/>
  <c r="H85" i="14"/>
  <c r="G85" i="14"/>
  <c r="F85" i="14"/>
  <c r="E85" i="14"/>
  <c r="D85" i="14"/>
  <c r="C85" i="14"/>
  <c r="B85" i="14"/>
  <c r="A85" i="14"/>
  <c r="L84" i="14"/>
  <c r="K84" i="14"/>
  <c r="H84" i="14"/>
  <c r="G84" i="14"/>
  <c r="F84" i="14"/>
  <c r="E84" i="14"/>
  <c r="D84" i="14"/>
  <c r="C84" i="14"/>
  <c r="B84" i="14"/>
  <c r="A84" i="14"/>
  <c r="L83" i="14"/>
  <c r="K83" i="14"/>
  <c r="H83" i="14"/>
  <c r="G83" i="14"/>
  <c r="F83" i="14"/>
  <c r="E83" i="14"/>
  <c r="D83" i="14"/>
  <c r="C83" i="14"/>
  <c r="B83" i="14"/>
  <c r="A83" i="14"/>
  <c r="L82" i="14"/>
  <c r="K82" i="14"/>
  <c r="H82" i="14"/>
  <c r="G82" i="14"/>
  <c r="F82" i="14"/>
  <c r="E82" i="14"/>
  <c r="D82" i="14"/>
  <c r="C82" i="14"/>
  <c r="B82" i="14"/>
  <c r="A82" i="14"/>
  <c r="L81" i="14"/>
  <c r="K81" i="14"/>
  <c r="H81" i="14"/>
  <c r="G81" i="14"/>
  <c r="F81" i="14"/>
  <c r="E81" i="14"/>
  <c r="D81" i="14"/>
  <c r="C81" i="14"/>
  <c r="B81" i="14"/>
  <c r="A81" i="14"/>
  <c r="L80" i="14"/>
  <c r="K80" i="14"/>
  <c r="H80" i="14"/>
  <c r="G80" i="14"/>
  <c r="F80" i="14"/>
  <c r="E80" i="14"/>
  <c r="D80" i="14"/>
  <c r="C80" i="14"/>
  <c r="B80" i="14"/>
  <c r="A80" i="14"/>
  <c r="L79" i="14"/>
  <c r="K79" i="14"/>
  <c r="H79" i="14"/>
  <c r="G79" i="14"/>
  <c r="F79" i="14"/>
  <c r="E79" i="14"/>
  <c r="D79" i="14"/>
  <c r="C79" i="14"/>
  <c r="B79" i="14"/>
  <c r="A79" i="14"/>
  <c r="L78" i="14"/>
  <c r="K78" i="14"/>
  <c r="H78" i="14"/>
  <c r="G78" i="14"/>
  <c r="F78" i="14"/>
  <c r="E78" i="14"/>
  <c r="D78" i="14"/>
  <c r="C78" i="14"/>
  <c r="B78" i="14"/>
  <c r="A78" i="14"/>
  <c r="L77" i="14"/>
  <c r="K77" i="14"/>
  <c r="H77" i="14"/>
  <c r="G77" i="14"/>
  <c r="F77" i="14"/>
  <c r="E77" i="14"/>
  <c r="D77" i="14"/>
  <c r="C77" i="14"/>
  <c r="B77" i="14"/>
  <c r="A77" i="14"/>
  <c r="L76" i="14"/>
  <c r="K76" i="14"/>
  <c r="H76" i="14"/>
  <c r="G76" i="14"/>
  <c r="F76" i="14"/>
  <c r="E76" i="14"/>
  <c r="D76" i="14"/>
  <c r="C76" i="14"/>
  <c r="B76" i="14"/>
  <c r="A76" i="14"/>
  <c r="L75" i="14"/>
  <c r="K75" i="14"/>
  <c r="H75" i="14"/>
  <c r="G75" i="14"/>
  <c r="F75" i="14"/>
  <c r="E75" i="14"/>
  <c r="D75" i="14"/>
  <c r="C75" i="14"/>
  <c r="B75" i="14"/>
  <c r="A75" i="14"/>
  <c r="L74" i="14"/>
  <c r="K74" i="14"/>
  <c r="H74" i="14"/>
  <c r="G74" i="14"/>
  <c r="F74" i="14"/>
  <c r="E74" i="14"/>
  <c r="D74" i="14"/>
  <c r="C74" i="14"/>
  <c r="B74" i="14"/>
  <c r="A74" i="14"/>
  <c r="L73" i="14"/>
  <c r="K73" i="14"/>
  <c r="H73" i="14"/>
  <c r="G73" i="14"/>
  <c r="F73" i="14"/>
  <c r="E73" i="14"/>
  <c r="D73" i="14"/>
  <c r="C73" i="14"/>
  <c r="B73" i="14"/>
  <c r="A73" i="14"/>
  <c r="L72" i="14"/>
  <c r="K72" i="14"/>
  <c r="H72" i="14"/>
  <c r="G72" i="14"/>
  <c r="F72" i="14"/>
  <c r="E72" i="14"/>
  <c r="D72" i="14"/>
  <c r="C72" i="14"/>
  <c r="B72" i="14"/>
  <c r="A72" i="14"/>
  <c r="L71" i="14"/>
  <c r="K71" i="14"/>
  <c r="H71" i="14"/>
  <c r="G71" i="14"/>
  <c r="F71" i="14"/>
  <c r="E71" i="14"/>
  <c r="D71" i="14"/>
  <c r="C71" i="14"/>
  <c r="B71" i="14"/>
  <c r="A71" i="14"/>
  <c r="L70" i="14"/>
  <c r="K70" i="14"/>
  <c r="H70" i="14"/>
  <c r="G70" i="14"/>
  <c r="F70" i="14"/>
  <c r="E70" i="14"/>
  <c r="D70" i="14"/>
  <c r="C70" i="14"/>
  <c r="B70" i="14"/>
  <c r="A70" i="14"/>
  <c r="L69" i="14"/>
  <c r="K69" i="14"/>
  <c r="H69" i="14"/>
  <c r="G69" i="14"/>
  <c r="F69" i="14"/>
  <c r="E69" i="14"/>
  <c r="D69" i="14"/>
  <c r="C69" i="14"/>
  <c r="B69" i="14"/>
  <c r="A69" i="14"/>
  <c r="L68" i="14"/>
  <c r="K68" i="14"/>
  <c r="H68" i="14"/>
  <c r="G68" i="14"/>
  <c r="F68" i="14"/>
  <c r="E68" i="14"/>
  <c r="D68" i="14"/>
  <c r="C68" i="14"/>
  <c r="B68" i="14"/>
  <c r="A68" i="14"/>
  <c r="L67" i="14"/>
  <c r="K67" i="14"/>
  <c r="H67" i="14"/>
  <c r="G67" i="14"/>
  <c r="F67" i="14"/>
  <c r="E67" i="14"/>
  <c r="D67" i="14"/>
  <c r="C67" i="14"/>
  <c r="B67" i="14"/>
  <c r="A67" i="14"/>
  <c r="L66" i="14"/>
  <c r="K66" i="14"/>
  <c r="H66" i="14"/>
  <c r="G66" i="14"/>
  <c r="F66" i="14"/>
  <c r="E66" i="14"/>
  <c r="D66" i="14"/>
  <c r="C66" i="14"/>
  <c r="B66" i="14"/>
  <c r="A66" i="14"/>
  <c r="L65" i="14"/>
  <c r="K65" i="14"/>
  <c r="H65" i="14"/>
  <c r="G65" i="14"/>
  <c r="F65" i="14"/>
  <c r="E65" i="14"/>
  <c r="D65" i="14"/>
  <c r="C65" i="14"/>
  <c r="B65" i="14"/>
  <c r="A65" i="14"/>
  <c r="L64" i="14"/>
  <c r="K64" i="14"/>
  <c r="H64" i="14"/>
  <c r="G64" i="14"/>
  <c r="F64" i="14"/>
  <c r="E64" i="14"/>
  <c r="D64" i="14"/>
  <c r="C64" i="14"/>
  <c r="B64" i="14"/>
  <c r="A64" i="14"/>
  <c r="L63" i="14"/>
  <c r="K63" i="14"/>
  <c r="H63" i="14"/>
  <c r="G63" i="14"/>
  <c r="F63" i="14"/>
  <c r="E63" i="14"/>
  <c r="D63" i="14"/>
  <c r="C63" i="14"/>
  <c r="B63" i="14"/>
  <c r="A63" i="14"/>
  <c r="L62" i="14"/>
  <c r="K62" i="14"/>
  <c r="H62" i="14"/>
  <c r="G62" i="14"/>
  <c r="F62" i="14"/>
  <c r="E62" i="14"/>
  <c r="D62" i="14"/>
  <c r="C62" i="14"/>
  <c r="B62" i="14"/>
  <c r="A62" i="14"/>
  <c r="L61" i="14"/>
  <c r="K61" i="14"/>
  <c r="H61" i="14"/>
  <c r="G61" i="14"/>
  <c r="F61" i="14"/>
  <c r="E61" i="14"/>
  <c r="D61" i="14"/>
  <c r="C61" i="14"/>
  <c r="B61" i="14"/>
  <c r="A61" i="14"/>
  <c r="L60" i="14"/>
  <c r="K60" i="14"/>
  <c r="H60" i="14"/>
  <c r="G60" i="14"/>
  <c r="F60" i="14"/>
  <c r="E60" i="14"/>
  <c r="D60" i="14"/>
  <c r="C60" i="14"/>
  <c r="B60" i="14"/>
  <c r="A60" i="14"/>
  <c r="L59" i="14"/>
  <c r="K59" i="14"/>
  <c r="H59" i="14"/>
  <c r="G59" i="14"/>
  <c r="F59" i="14"/>
  <c r="E59" i="14"/>
  <c r="D59" i="14"/>
  <c r="C59" i="14"/>
  <c r="B59" i="14"/>
  <c r="A59" i="14"/>
  <c r="L58" i="14"/>
  <c r="K58" i="14"/>
  <c r="H58" i="14"/>
  <c r="G58" i="14"/>
  <c r="F58" i="14"/>
  <c r="E58" i="14"/>
  <c r="D58" i="14"/>
  <c r="C58" i="14"/>
  <c r="B58" i="14"/>
  <c r="A58" i="14"/>
  <c r="L57" i="14"/>
  <c r="K57" i="14"/>
  <c r="H57" i="14"/>
  <c r="G57" i="14"/>
  <c r="F57" i="14"/>
  <c r="E57" i="14"/>
  <c r="D57" i="14"/>
  <c r="C57" i="14"/>
  <c r="B57" i="14"/>
  <c r="A57" i="14"/>
  <c r="L56" i="14"/>
  <c r="K56" i="14"/>
  <c r="H56" i="14"/>
  <c r="G56" i="14"/>
  <c r="F56" i="14"/>
  <c r="E56" i="14"/>
  <c r="D56" i="14"/>
  <c r="C56" i="14"/>
  <c r="B56" i="14"/>
  <c r="A56" i="14"/>
  <c r="L55" i="14"/>
  <c r="K55" i="14"/>
  <c r="H55" i="14"/>
  <c r="G55" i="14"/>
  <c r="F55" i="14"/>
  <c r="E55" i="14"/>
  <c r="D55" i="14"/>
  <c r="C55" i="14"/>
  <c r="B55" i="14"/>
  <c r="A55" i="14"/>
  <c r="L54" i="14"/>
  <c r="K54" i="14"/>
  <c r="H54" i="14"/>
  <c r="G54" i="14"/>
  <c r="F54" i="14"/>
  <c r="E54" i="14"/>
  <c r="D54" i="14"/>
  <c r="C54" i="14"/>
  <c r="B54" i="14"/>
  <c r="A54" i="14"/>
  <c r="L53" i="14"/>
  <c r="K53" i="14"/>
  <c r="H53" i="14"/>
  <c r="G53" i="14"/>
  <c r="F53" i="14"/>
  <c r="E53" i="14"/>
  <c r="D53" i="14"/>
  <c r="C53" i="14"/>
  <c r="B53" i="14"/>
  <c r="A53" i="14"/>
  <c r="L52" i="14"/>
  <c r="K52" i="14"/>
  <c r="H52" i="14"/>
  <c r="G52" i="14"/>
  <c r="F52" i="14"/>
  <c r="E52" i="14"/>
  <c r="D52" i="14"/>
  <c r="C52" i="14"/>
  <c r="B52" i="14"/>
  <c r="A52" i="14"/>
  <c r="L51" i="14"/>
  <c r="K51" i="14"/>
  <c r="H51" i="14"/>
  <c r="G51" i="14"/>
  <c r="F51" i="14"/>
  <c r="E51" i="14"/>
  <c r="D51" i="14"/>
  <c r="C51" i="14"/>
  <c r="B51" i="14"/>
  <c r="A51" i="14"/>
  <c r="L50" i="14"/>
  <c r="K50" i="14"/>
  <c r="H50" i="14"/>
  <c r="G50" i="14"/>
  <c r="F50" i="14"/>
  <c r="E50" i="14"/>
  <c r="D50" i="14"/>
  <c r="C50" i="14"/>
  <c r="B50" i="14"/>
  <c r="A50" i="14"/>
  <c r="L49" i="14"/>
  <c r="K49" i="14"/>
  <c r="H49" i="14"/>
  <c r="G49" i="14"/>
  <c r="F49" i="14"/>
  <c r="E49" i="14"/>
  <c r="D49" i="14"/>
  <c r="C49" i="14"/>
  <c r="B49" i="14"/>
  <c r="A49" i="14"/>
  <c r="L48" i="14"/>
  <c r="K48" i="14"/>
  <c r="H48" i="14"/>
  <c r="G48" i="14"/>
  <c r="F48" i="14"/>
  <c r="E48" i="14"/>
  <c r="D48" i="14"/>
  <c r="C48" i="14"/>
  <c r="B48" i="14"/>
  <c r="A48" i="14"/>
  <c r="L47" i="14"/>
  <c r="K47" i="14"/>
  <c r="H47" i="14"/>
  <c r="G47" i="14"/>
  <c r="F47" i="14"/>
  <c r="E47" i="14"/>
  <c r="D47" i="14"/>
  <c r="C47" i="14"/>
  <c r="B47" i="14"/>
  <c r="A47" i="14"/>
  <c r="L46" i="14"/>
  <c r="K46" i="14"/>
  <c r="H46" i="14"/>
  <c r="G46" i="14"/>
  <c r="F46" i="14"/>
  <c r="E46" i="14"/>
  <c r="D46" i="14"/>
  <c r="C46" i="14"/>
  <c r="B46" i="14"/>
  <c r="A46" i="14"/>
  <c r="L45" i="14"/>
  <c r="K45" i="14"/>
  <c r="H45" i="14"/>
  <c r="G45" i="14"/>
  <c r="F45" i="14"/>
  <c r="E45" i="14"/>
  <c r="D45" i="14"/>
  <c r="C45" i="14"/>
  <c r="B45" i="14"/>
  <c r="A45" i="14"/>
  <c r="L44" i="14"/>
  <c r="K44" i="14"/>
  <c r="H44" i="14"/>
  <c r="G44" i="14"/>
  <c r="F44" i="14"/>
  <c r="E44" i="14"/>
  <c r="D44" i="14"/>
  <c r="C44" i="14"/>
  <c r="B44" i="14"/>
  <c r="A44" i="14"/>
  <c r="L43" i="14"/>
  <c r="K43" i="14"/>
  <c r="H43" i="14"/>
  <c r="G43" i="14"/>
  <c r="F43" i="14"/>
  <c r="E43" i="14"/>
  <c r="D43" i="14"/>
  <c r="C43" i="14"/>
  <c r="B43" i="14"/>
  <c r="A43" i="14"/>
  <c r="L42" i="14"/>
  <c r="K42" i="14"/>
  <c r="H42" i="14"/>
  <c r="G42" i="14"/>
  <c r="F42" i="14"/>
  <c r="E42" i="14"/>
  <c r="D42" i="14"/>
  <c r="C42" i="14"/>
  <c r="B42" i="14"/>
  <c r="A42" i="14"/>
  <c r="L41" i="14"/>
  <c r="K41" i="14"/>
  <c r="H41" i="14"/>
  <c r="G41" i="14"/>
  <c r="F41" i="14"/>
  <c r="E41" i="14"/>
  <c r="D41" i="14"/>
  <c r="C41" i="14"/>
  <c r="B41" i="14"/>
  <c r="A41" i="14"/>
  <c r="L40" i="14"/>
  <c r="K40" i="14"/>
  <c r="H40" i="14"/>
  <c r="G40" i="14"/>
  <c r="F40" i="14"/>
  <c r="E40" i="14"/>
  <c r="D40" i="14"/>
  <c r="C40" i="14"/>
  <c r="B40" i="14"/>
  <c r="A40" i="14"/>
  <c r="L39" i="14"/>
  <c r="K39" i="14"/>
  <c r="H39" i="14"/>
  <c r="G39" i="14"/>
  <c r="F39" i="14"/>
  <c r="E39" i="14"/>
  <c r="D39" i="14"/>
  <c r="C39" i="14"/>
  <c r="B39" i="14"/>
  <c r="A39" i="14"/>
  <c r="L38" i="14"/>
  <c r="K38" i="14"/>
  <c r="H38" i="14"/>
  <c r="G38" i="14"/>
  <c r="F38" i="14"/>
  <c r="E38" i="14"/>
  <c r="D38" i="14"/>
  <c r="C38" i="14"/>
  <c r="B38" i="14"/>
  <c r="A38" i="14"/>
  <c r="L37" i="14"/>
  <c r="K37" i="14"/>
  <c r="H37" i="14"/>
  <c r="G37" i="14"/>
  <c r="F37" i="14"/>
  <c r="E37" i="14"/>
  <c r="D37" i="14"/>
  <c r="C37" i="14"/>
  <c r="B37" i="14"/>
  <c r="A37" i="14"/>
  <c r="L36" i="14"/>
  <c r="K36" i="14"/>
  <c r="H36" i="14"/>
  <c r="G36" i="14"/>
  <c r="F36" i="14"/>
  <c r="E36" i="14"/>
  <c r="D36" i="14"/>
  <c r="C36" i="14"/>
  <c r="B36" i="14"/>
  <c r="A36" i="14"/>
  <c r="L35" i="14"/>
  <c r="K35" i="14"/>
  <c r="H35" i="14"/>
  <c r="G35" i="14"/>
  <c r="F35" i="14"/>
  <c r="E35" i="14"/>
  <c r="D35" i="14"/>
  <c r="C35" i="14"/>
  <c r="B35" i="14"/>
  <c r="A35" i="14"/>
  <c r="L34" i="14"/>
  <c r="K34" i="14"/>
  <c r="H34" i="14"/>
  <c r="G34" i="14"/>
  <c r="F34" i="14"/>
  <c r="E34" i="14"/>
  <c r="D34" i="14"/>
  <c r="C34" i="14"/>
  <c r="B34" i="14"/>
  <c r="A34" i="14"/>
  <c r="L33" i="14"/>
  <c r="K33" i="14"/>
  <c r="H33" i="14"/>
  <c r="G33" i="14"/>
  <c r="F33" i="14"/>
  <c r="E33" i="14"/>
  <c r="D33" i="14"/>
  <c r="C33" i="14"/>
  <c r="B33" i="14"/>
  <c r="A33" i="14"/>
  <c r="L32" i="14"/>
  <c r="K32" i="14"/>
  <c r="H32" i="14"/>
  <c r="G32" i="14"/>
  <c r="F32" i="14"/>
  <c r="E32" i="14"/>
  <c r="D32" i="14"/>
  <c r="C32" i="14"/>
  <c r="B32" i="14"/>
  <c r="A32" i="14"/>
  <c r="L31" i="14"/>
  <c r="K31" i="14"/>
  <c r="H31" i="14"/>
  <c r="G31" i="14"/>
  <c r="F31" i="14"/>
  <c r="E31" i="14"/>
  <c r="D31" i="14"/>
  <c r="C31" i="14"/>
  <c r="B31" i="14"/>
  <c r="A31" i="14"/>
  <c r="L30" i="14"/>
  <c r="K30" i="14"/>
  <c r="H30" i="14"/>
  <c r="G30" i="14"/>
  <c r="F30" i="14"/>
  <c r="E30" i="14"/>
  <c r="D30" i="14"/>
  <c r="C30" i="14"/>
  <c r="B30" i="14"/>
  <c r="A30" i="14"/>
  <c r="L29" i="14"/>
  <c r="K29" i="14"/>
  <c r="H29" i="14"/>
  <c r="G29" i="14"/>
  <c r="F29" i="14"/>
  <c r="E29" i="14"/>
  <c r="D29" i="14"/>
  <c r="C29" i="14"/>
  <c r="B29" i="14"/>
  <c r="A29" i="14"/>
  <c r="L28" i="14"/>
  <c r="K28" i="14"/>
  <c r="H28" i="14"/>
  <c r="G28" i="14"/>
  <c r="F28" i="14"/>
  <c r="E28" i="14"/>
  <c r="D28" i="14"/>
  <c r="C28" i="14"/>
  <c r="B28" i="14"/>
  <c r="A28" i="14"/>
  <c r="L27" i="14"/>
  <c r="K27" i="14"/>
  <c r="H27" i="14"/>
  <c r="G27" i="14"/>
  <c r="F27" i="14"/>
  <c r="E27" i="14"/>
  <c r="D27" i="14"/>
  <c r="C27" i="14"/>
  <c r="B27" i="14"/>
  <c r="A27" i="14"/>
  <c r="L26" i="14"/>
  <c r="K26" i="14"/>
  <c r="H26" i="14"/>
  <c r="G26" i="14"/>
  <c r="F26" i="14"/>
  <c r="E26" i="14"/>
  <c r="D26" i="14"/>
  <c r="C26" i="14"/>
  <c r="B26" i="14"/>
  <c r="A26" i="14"/>
  <c r="L25" i="14"/>
  <c r="K25" i="14"/>
  <c r="H25" i="14"/>
  <c r="G25" i="14"/>
  <c r="F25" i="14"/>
  <c r="E25" i="14"/>
  <c r="D25" i="14"/>
  <c r="C25" i="14"/>
  <c r="B25" i="14"/>
  <c r="A25" i="14"/>
  <c r="L24" i="14"/>
  <c r="K24" i="14"/>
  <c r="H24" i="14"/>
  <c r="G24" i="14"/>
  <c r="F24" i="14"/>
  <c r="E24" i="14"/>
  <c r="D24" i="14"/>
  <c r="C24" i="14"/>
  <c r="B24" i="14"/>
  <c r="A24" i="14"/>
  <c r="L23" i="14"/>
  <c r="K23" i="14"/>
  <c r="H23" i="14"/>
  <c r="G23" i="14"/>
  <c r="F23" i="14"/>
  <c r="E23" i="14"/>
  <c r="D23" i="14"/>
  <c r="C23" i="14"/>
  <c r="B23" i="14"/>
  <c r="A23" i="14"/>
  <c r="L22" i="14"/>
  <c r="K22" i="14"/>
  <c r="H22" i="14"/>
  <c r="G22" i="14"/>
  <c r="F22" i="14"/>
  <c r="E22" i="14"/>
  <c r="D22" i="14"/>
  <c r="C22" i="14"/>
  <c r="B22" i="14"/>
  <c r="A22" i="14"/>
  <c r="L21" i="14"/>
  <c r="K21" i="14"/>
  <c r="H21" i="14"/>
  <c r="G21" i="14"/>
  <c r="F21" i="14"/>
  <c r="E21" i="14"/>
  <c r="D21" i="14"/>
  <c r="C21" i="14"/>
  <c r="B21" i="14"/>
  <c r="A21" i="14"/>
  <c r="L20" i="14"/>
  <c r="K20" i="14"/>
  <c r="H20" i="14"/>
  <c r="G20" i="14"/>
  <c r="F20" i="14"/>
  <c r="E20" i="14"/>
  <c r="D20" i="14"/>
  <c r="C20" i="14"/>
  <c r="B20" i="14"/>
  <c r="A20" i="14"/>
  <c r="L19" i="14"/>
  <c r="K19" i="14"/>
  <c r="H19" i="14"/>
  <c r="G19" i="14"/>
  <c r="F19" i="14"/>
  <c r="E19" i="14"/>
  <c r="D19" i="14"/>
  <c r="C19" i="14"/>
  <c r="B19" i="14"/>
  <c r="A19" i="14"/>
  <c r="L18" i="14"/>
  <c r="K18" i="14"/>
  <c r="H18" i="14"/>
  <c r="G18" i="14"/>
  <c r="F18" i="14"/>
  <c r="E18" i="14"/>
  <c r="D18" i="14"/>
  <c r="C18" i="14"/>
  <c r="B18" i="14"/>
  <c r="A18" i="14"/>
  <c r="L17" i="14"/>
  <c r="K17" i="14"/>
  <c r="H17" i="14"/>
  <c r="G17" i="14"/>
  <c r="F17" i="14"/>
  <c r="E17" i="14"/>
  <c r="D17" i="14"/>
  <c r="C17" i="14"/>
  <c r="B17" i="14"/>
  <c r="A17" i="14"/>
  <c r="L16" i="14"/>
  <c r="K16" i="14"/>
  <c r="H16" i="14"/>
  <c r="G16" i="14"/>
  <c r="F16" i="14"/>
  <c r="E16" i="14"/>
  <c r="D16" i="14"/>
  <c r="C16" i="14"/>
  <c r="B16" i="14"/>
  <c r="A16" i="14"/>
  <c r="L15" i="14"/>
  <c r="K15" i="14"/>
  <c r="H15" i="14"/>
  <c r="G15" i="14"/>
  <c r="F15" i="14"/>
  <c r="E15" i="14"/>
  <c r="D15" i="14"/>
  <c r="C15" i="14"/>
  <c r="B15" i="14"/>
  <c r="A15" i="14"/>
  <c r="L14" i="14"/>
  <c r="K14" i="14"/>
  <c r="H14" i="14"/>
  <c r="G14" i="14"/>
  <c r="F14" i="14"/>
  <c r="E14" i="14"/>
  <c r="D14" i="14"/>
  <c r="C14" i="14"/>
  <c r="B14" i="14"/>
  <c r="A14" i="14"/>
  <c r="L13" i="14"/>
  <c r="K13" i="14"/>
  <c r="H13" i="14"/>
  <c r="G13" i="14"/>
  <c r="F13" i="14"/>
  <c r="E13" i="14"/>
  <c r="D13" i="14"/>
  <c r="C13" i="14"/>
  <c r="B13" i="14"/>
  <c r="A13" i="14"/>
  <c r="L12" i="14"/>
  <c r="K12" i="14"/>
  <c r="H12" i="14"/>
  <c r="G12" i="14"/>
  <c r="F12" i="14"/>
  <c r="E12" i="14"/>
  <c r="D12" i="14"/>
  <c r="C12" i="14"/>
  <c r="B12" i="14"/>
  <c r="A12" i="14"/>
  <c r="L11" i="14"/>
  <c r="K11" i="14"/>
  <c r="H11" i="14"/>
  <c r="G11" i="14"/>
  <c r="F11" i="14"/>
  <c r="E11" i="14"/>
  <c r="D11" i="14"/>
  <c r="C11" i="14"/>
  <c r="B11" i="14"/>
  <c r="A11" i="14"/>
  <c r="L10" i="14"/>
  <c r="K10" i="14"/>
  <c r="H10" i="14"/>
  <c r="G10" i="14"/>
  <c r="F10" i="14"/>
  <c r="E10" i="14"/>
  <c r="D10" i="14"/>
  <c r="C10" i="14"/>
  <c r="B10" i="14"/>
  <c r="A10" i="14"/>
  <c r="L9" i="14"/>
  <c r="K9" i="14"/>
  <c r="H9" i="14"/>
  <c r="G9" i="14"/>
  <c r="F9" i="14"/>
  <c r="E9" i="14"/>
  <c r="D9" i="14"/>
  <c r="C9" i="14"/>
  <c r="B9" i="14"/>
  <c r="A9" i="14"/>
  <c r="L8" i="14"/>
  <c r="K8" i="14"/>
  <c r="H8" i="14"/>
  <c r="G8" i="14"/>
  <c r="F8" i="14"/>
  <c r="E8" i="14"/>
  <c r="D8" i="14"/>
  <c r="C8" i="14"/>
  <c r="B8" i="14"/>
  <c r="A8" i="14"/>
  <c r="K7" i="14"/>
  <c r="H7" i="14"/>
  <c r="G7" i="14"/>
  <c r="F7" i="14"/>
  <c r="E7" i="14"/>
  <c r="D7" i="14"/>
  <c r="C7" i="14"/>
  <c r="B7" i="14"/>
  <c r="A7" i="14"/>
  <c r="J2" i="14"/>
  <c r="D22" i="1" s="1"/>
  <c r="L110" i="13"/>
  <c r="K110" i="13"/>
  <c r="H110" i="13"/>
  <c r="G110" i="13"/>
  <c r="F110" i="13"/>
  <c r="E110" i="13"/>
  <c r="D110" i="13"/>
  <c r="C110" i="13"/>
  <c r="B110" i="13"/>
  <c r="A110" i="13"/>
  <c r="L109" i="13"/>
  <c r="K109" i="13"/>
  <c r="H109" i="13"/>
  <c r="G109" i="13"/>
  <c r="F109" i="13"/>
  <c r="E109" i="13"/>
  <c r="D109" i="13"/>
  <c r="C109" i="13"/>
  <c r="B109" i="13"/>
  <c r="A109" i="13"/>
  <c r="L108" i="13"/>
  <c r="K108" i="13"/>
  <c r="H108" i="13"/>
  <c r="G108" i="13"/>
  <c r="F108" i="13"/>
  <c r="E108" i="13"/>
  <c r="D108" i="13"/>
  <c r="C108" i="13"/>
  <c r="B108" i="13"/>
  <c r="A108" i="13"/>
  <c r="L107" i="13"/>
  <c r="K107" i="13"/>
  <c r="H107" i="13"/>
  <c r="G107" i="13"/>
  <c r="F107" i="13"/>
  <c r="E107" i="13"/>
  <c r="D107" i="13"/>
  <c r="C107" i="13"/>
  <c r="B107" i="13"/>
  <c r="A107" i="13"/>
  <c r="L106" i="13"/>
  <c r="K106" i="13"/>
  <c r="H106" i="13"/>
  <c r="G106" i="13"/>
  <c r="F106" i="13"/>
  <c r="E106" i="13"/>
  <c r="D106" i="13"/>
  <c r="C106" i="13"/>
  <c r="B106" i="13"/>
  <c r="A106" i="13"/>
  <c r="L105" i="13"/>
  <c r="K105" i="13"/>
  <c r="H105" i="13"/>
  <c r="G105" i="13"/>
  <c r="F105" i="13"/>
  <c r="E105" i="13"/>
  <c r="D105" i="13"/>
  <c r="C105" i="13"/>
  <c r="B105" i="13"/>
  <c r="A105" i="13"/>
  <c r="L104" i="13"/>
  <c r="K104" i="13"/>
  <c r="H104" i="13"/>
  <c r="G104" i="13"/>
  <c r="F104" i="13"/>
  <c r="E104" i="13"/>
  <c r="D104" i="13"/>
  <c r="C104" i="13"/>
  <c r="B104" i="13"/>
  <c r="A104" i="13"/>
  <c r="L103" i="13"/>
  <c r="K103" i="13"/>
  <c r="H103" i="13"/>
  <c r="G103" i="13"/>
  <c r="F103" i="13"/>
  <c r="E103" i="13"/>
  <c r="D103" i="13"/>
  <c r="C103" i="13"/>
  <c r="B103" i="13"/>
  <c r="A103" i="13"/>
  <c r="L102" i="13"/>
  <c r="K102" i="13"/>
  <c r="H102" i="13"/>
  <c r="G102" i="13"/>
  <c r="F102" i="13"/>
  <c r="E102" i="13"/>
  <c r="D102" i="13"/>
  <c r="C102" i="13"/>
  <c r="B102" i="13"/>
  <c r="A102" i="13"/>
  <c r="L101" i="13"/>
  <c r="K101" i="13"/>
  <c r="H101" i="13"/>
  <c r="G101" i="13"/>
  <c r="F101" i="13"/>
  <c r="E101" i="13"/>
  <c r="D101" i="13"/>
  <c r="C101" i="13"/>
  <c r="B101" i="13"/>
  <c r="A101" i="13"/>
  <c r="L100" i="13"/>
  <c r="K100" i="13"/>
  <c r="H100" i="13"/>
  <c r="G100" i="13"/>
  <c r="F100" i="13"/>
  <c r="E100" i="13"/>
  <c r="D100" i="13"/>
  <c r="C100" i="13"/>
  <c r="B100" i="13"/>
  <c r="A100" i="13"/>
  <c r="L99" i="13"/>
  <c r="K99" i="13"/>
  <c r="H99" i="13"/>
  <c r="G99" i="13"/>
  <c r="F99" i="13"/>
  <c r="E99" i="13"/>
  <c r="D99" i="13"/>
  <c r="C99" i="13"/>
  <c r="B99" i="13"/>
  <c r="A99" i="13"/>
  <c r="L98" i="13"/>
  <c r="K98" i="13"/>
  <c r="H98" i="13"/>
  <c r="G98" i="13"/>
  <c r="F98" i="13"/>
  <c r="E98" i="13"/>
  <c r="D98" i="13"/>
  <c r="C98" i="13"/>
  <c r="B98" i="13"/>
  <c r="A98" i="13"/>
  <c r="L97" i="13"/>
  <c r="K97" i="13"/>
  <c r="H97" i="13"/>
  <c r="G97" i="13"/>
  <c r="F97" i="13"/>
  <c r="E97" i="13"/>
  <c r="D97" i="13"/>
  <c r="C97" i="13"/>
  <c r="B97" i="13"/>
  <c r="A97" i="13"/>
  <c r="L96" i="13"/>
  <c r="K96" i="13"/>
  <c r="H96" i="13"/>
  <c r="G96" i="13"/>
  <c r="F96" i="13"/>
  <c r="E96" i="13"/>
  <c r="D96" i="13"/>
  <c r="C96" i="13"/>
  <c r="B96" i="13"/>
  <c r="A96" i="13"/>
  <c r="L95" i="13"/>
  <c r="K95" i="13"/>
  <c r="H95" i="13"/>
  <c r="G95" i="13"/>
  <c r="F95" i="13"/>
  <c r="E95" i="13"/>
  <c r="D95" i="13"/>
  <c r="C95" i="13"/>
  <c r="B95" i="13"/>
  <c r="A95" i="13"/>
  <c r="L94" i="13"/>
  <c r="K94" i="13"/>
  <c r="H94" i="13"/>
  <c r="G94" i="13"/>
  <c r="F94" i="13"/>
  <c r="E94" i="13"/>
  <c r="D94" i="13"/>
  <c r="C94" i="13"/>
  <c r="B94" i="13"/>
  <c r="A94" i="13"/>
  <c r="L93" i="13"/>
  <c r="K93" i="13"/>
  <c r="H93" i="13"/>
  <c r="G93" i="13"/>
  <c r="F93" i="13"/>
  <c r="E93" i="13"/>
  <c r="D93" i="13"/>
  <c r="C93" i="13"/>
  <c r="B93" i="13"/>
  <c r="A93" i="13"/>
  <c r="L92" i="13"/>
  <c r="K92" i="13"/>
  <c r="H92" i="13"/>
  <c r="G92" i="13"/>
  <c r="F92" i="13"/>
  <c r="E92" i="13"/>
  <c r="D92" i="13"/>
  <c r="C92" i="13"/>
  <c r="B92" i="13"/>
  <c r="A92" i="13"/>
  <c r="L91" i="13"/>
  <c r="K91" i="13"/>
  <c r="H91" i="13"/>
  <c r="G91" i="13"/>
  <c r="F91" i="13"/>
  <c r="E91" i="13"/>
  <c r="D91" i="13"/>
  <c r="C91" i="13"/>
  <c r="B91" i="13"/>
  <c r="A91" i="13"/>
  <c r="L90" i="13"/>
  <c r="K90" i="13"/>
  <c r="H90" i="13"/>
  <c r="G90" i="13"/>
  <c r="F90" i="13"/>
  <c r="E90" i="13"/>
  <c r="D90" i="13"/>
  <c r="C90" i="13"/>
  <c r="B90" i="13"/>
  <c r="A90" i="13"/>
  <c r="L89" i="13"/>
  <c r="K89" i="13"/>
  <c r="H89" i="13"/>
  <c r="G89" i="13"/>
  <c r="F89" i="13"/>
  <c r="E89" i="13"/>
  <c r="D89" i="13"/>
  <c r="C89" i="13"/>
  <c r="B89" i="13"/>
  <c r="A89" i="13"/>
  <c r="L88" i="13"/>
  <c r="K88" i="13"/>
  <c r="H88" i="13"/>
  <c r="G88" i="13"/>
  <c r="F88" i="13"/>
  <c r="E88" i="13"/>
  <c r="D88" i="13"/>
  <c r="C88" i="13"/>
  <c r="B88" i="13"/>
  <c r="A88" i="13"/>
  <c r="L87" i="13"/>
  <c r="K87" i="13"/>
  <c r="H87" i="13"/>
  <c r="G87" i="13"/>
  <c r="F87" i="13"/>
  <c r="E87" i="13"/>
  <c r="D87" i="13"/>
  <c r="C87" i="13"/>
  <c r="B87" i="13"/>
  <c r="A87" i="13"/>
  <c r="L86" i="13"/>
  <c r="K86" i="13"/>
  <c r="H86" i="13"/>
  <c r="G86" i="13"/>
  <c r="F86" i="13"/>
  <c r="E86" i="13"/>
  <c r="D86" i="13"/>
  <c r="C86" i="13"/>
  <c r="B86" i="13"/>
  <c r="A86" i="13"/>
  <c r="L85" i="13"/>
  <c r="K85" i="13"/>
  <c r="H85" i="13"/>
  <c r="G85" i="13"/>
  <c r="F85" i="13"/>
  <c r="E85" i="13"/>
  <c r="D85" i="13"/>
  <c r="C85" i="13"/>
  <c r="B85" i="13"/>
  <c r="A85" i="13"/>
  <c r="L84" i="13"/>
  <c r="K84" i="13"/>
  <c r="H84" i="13"/>
  <c r="G84" i="13"/>
  <c r="F84" i="13"/>
  <c r="E84" i="13"/>
  <c r="D84" i="13"/>
  <c r="C84" i="13"/>
  <c r="B84" i="13"/>
  <c r="A84" i="13"/>
  <c r="L83" i="13"/>
  <c r="K83" i="13"/>
  <c r="H83" i="13"/>
  <c r="G83" i="13"/>
  <c r="F83" i="13"/>
  <c r="E83" i="13"/>
  <c r="D83" i="13"/>
  <c r="C83" i="13"/>
  <c r="B83" i="13"/>
  <c r="A83" i="13"/>
  <c r="L82" i="13"/>
  <c r="K82" i="13"/>
  <c r="H82" i="13"/>
  <c r="G82" i="13"/>
  <c r="F82" i="13"/>
  <c r="E82" i="13"/>
  <c r="D82" i="13"/>
  <c r="C82" i="13"/>
  <c r="B82" i="13"/>
  <c r="A82" i="13"/>
  <c r="L81" i="13"/>
  <c r="K81" i="13"/>
  <c r="H81" i="13"/>
  <c r="G81" i="13"/>
  <c r="F81" i="13"/>
  <c r="E81" i="13"/>
  <c r="D81" i="13"/>
  <c r="C81" i="13"/>
  <c r="B81" i="13"/>
  <c r="A81" i="13"/>
  <c r="L80" i="13"/>
  <c r="K80" i="13"/>
  <c r="H80" i="13"/>
  <c r="G80" i="13"/>
  <c r="F80" i="13"/>
  <c r="E80" i="13"/>
  <c r="D80" i="13"/>
  <c r="C80" i="13"/>
  <c r="B80" i="13"/>
  <c r="A80" i="13"/>
  <c r="L79" i="13"/>
  <c r="K79" i="13"/>
  <c r="H79" i="13"/>
  <c r="G79" i="13"/>
  <c r="F79" i="13"/>
  <c r="E79" i="13"/>
  <c r="D79" i="13"/>
  <c r="C79" i="13"/>
  <c r="B79" i="13"/>
  <c r="A79" i="13"/>
  <c r="L78" i="13"/>
  <c r="K78" i="13"/>
  <c r="H78" i="13"/>
  <c r="G78" i="13"/>
  <c r="F78" i="13"/>
  <c r="E78" i="13"/>
  <c r="D78" i="13"/>
  <c r="C78" i="13"/>
  <c r="B78" i="13"/>
  <c r="A78" i="13"/>
  <c r="L77" i="13"/>
  <c r="K77" i="13"/>
  <c r="H77" i="13"/>
  <c r="G77" i="13"/>
  <c r="F77" i="13"/>
  <c r="E77" i="13"/>
  <c r="D77" i="13"/>
  <c r="C77" i="13"/>
  <c r="B77" i="13"/>
  <c r="A77" i="13"/>
  <c r="L76" i="13"/>
  <c r="K76" i="13"/>
  <c r="H76" i="13"/>
  <c r="G76" i="13"/>
  <c r="F76" i="13"/>
  <c r="E76" i="13"/>
  <c r="D76" i="13"/>
  <c r="C76" i="13"/>
  <c r="B76" i="13"/>
  <c r="A76" i="13"/>
  <c r="L75" i="13"/>
  <c r="K75" i="13"/>
  <c r="H75" i="13"/>
  <c r="G75" i="13"/>
  <c r="F75" i="13"/>
  <c r="E75" i="13"/>
  <c r="D75" i="13"/>
  <c r="C75" i="13"/>
  <c r="B75" i="13"/>
  <c r="A75" i="13"/>
  <c r="L74" i="13"/>
  <c r="K74" i="13"/>
  <c r="H74" i="13"/>
  <c r="G74" i="13"/>
  <c r="F74" i="13"/>
  <c r="E74" i="13"/>
  <c r="D74" i="13"/>
  <c r="C74" i="13"/>
  <c r="B74" i="13"/>
  <c r="A74" i="13"/>
  <c r="L73" i="13"/>
  <c r="K73" i="13"/>
  <c r="H73" i="13"/>
  <c r="G73" i="13"/>
  <c r="F73" i="13"/>
  <c r="E73" i="13"/>
  <c r="D73" i="13"/>
  <c r="C73" i="13"/>
  <c r="B73" i="13"/>
  <c r="A73" i="13"/>
  <c r="L72" i="13"/>
  <c r="K72" i="13"/>
  <c r="H72" i="13"/>
  <c r="G72" i="13"/>
  <c r="F72" i="13"/>
  <c r="E72" i="13"/>
  <c r="D72" i="13"/>
  <c r="C72" i="13"/>
  <c r="B72" i="13"/>
  <c r="A72" i="13"/>
  <c r="L71" i="13"/>
  <c r="K71" i="13"/>
  <c r="H71" i="13"/>
  <c r="G71" i="13"/>
  <c r="F71" i="13"/>
  <c r="E71" i="13"/>
  <c r="D71" i="13"/>
  <c r="C71" i="13"/>
  <c r="B71" i="13"/>
  <c r="A71" i="13"/>
  <c r="L70" i="13"/>
  <c r="K70" i="13"/>
  <c r="H70" i="13"/>
  <c r="G70" i="13"/>
  <c r="F70" i="13"/>
  <c r="E70" i="13"/>
  <c r="D70" i="13"/>
  <c r="C70" i="13"/>
  <c r="B70" i="13"/>
  <c r="A70" i="13"/>
  <c r="L69" i="13"/>
  <c r="K69" i="13"/>
  <c r="H69" i="13"/>
  <c r="G69" i="13"/>
  <c r="F69" i="13"/>
  <c r="E69" i="13"/>
  <c r="D69" i="13"/>
  <c r="C69" i="13"/>
  <c r="B69" i="13"/>
  <c r="A69" i="13"/>
  <c r="L68" i="13"/>
  <c r="K68" i="13"/>
  <c r="H68" i="13"/>
  <c r="G68" i="13"/>
  <c r="F68" i="13"/>
  <c r="E68" i="13"/>
  <c r="D68" i="13"/>
  <c r="C68" i="13"/>
  <c r="B68" i="13"/>
  <c r="A68" i="13"/>
  <c r="L67" i="13"/>
  <c r="K67" i="13"/>
  <c r="H67" i="13"/>
  <c r="G67" i="13"/>
  <c r="F67" i="13"/>
  <c r="E67" i="13"/>
  <c r="D67" i="13"/>
  <c r="C67" i="13"/>
  <c r="B67" i="13"/>
  <c r="A67" i="13"/>
  <c r="L66" i="13"/>
  <c r="K66" i="13"/>
  <c r="H66" i="13"/>
  <c r="G66" i="13"/>
  <c r="F66" i="13"/>
  <c r="E66" i="13"/>
  <c r="D66" i="13"/>
  <c r="C66" i="13"/>
  <c r="B66" i="13"/>
  <c r="A66" i="13"/>
  <c r="L65" i="13"/>
  <c r="K65" i="13"/>
  <c r="H65" i="13"/>
  <c r="G65" i="13"/>
  <c r="F65" i="13"/>
  <c r="E65" i="13"/>
  <c r="D65" i="13"/>
  <c r="C65" i="13"/>
  <c r="B65" i="13"/>
  <c r="A65" i="13"/>
  <c r="L64" i="13"/>
  <c r="K64" i="13"/>
  <c r="H64" i="13"/>
  <c r="G64" i="13"/>
  <c r="F64" i="13"/>
  <c r="E64" i="13"/>
  <c r="D64" i="13"/>
  <c r="C64" i="13"/>
  <c r="B64" i="13"/>
  <c r="A64" i="13"/>
  <c r="L63" i="13"/>
  <c r="K63" i="13"/>
  <c r="H63" i="13"/>
  <c r="G63" i="13"/>
  <c r="F63" i="13"/>
  <c r="E63" i="13"/>
  <c r="D63" i="13"/>
  <c r="C63" i="13"/>
  <c r="B63" i="13"/>
  <c r="A63" i="13"/>
  <c r="L62" i="13"/>
  <c r="K62" i="13"/>
  <c r="H62" i="13"/>
  <c r="G62" i="13"/>
  <c r="F62" i="13"/>
  <c r="E62" i="13"/>
  <c r="D62" i="13"/>
  <c r="C62" i="13"/>
  <c r="B62" i="13"/>
  <c r="A62" i="13"/>
  <c r="L61" i="13"/>
  <c r="K61" i="13"/>
  <c r="H61" i="13"/>
  <c r="G61" i="13"/>
  <c r="F61" i="13"/>
  <c r="E61" i="13"/>
  <c r="D61" i="13"/>
  <c r="C61" i="13"/>
  <c r="B61" i="13"/>
  <c r="A61" i="13"/>
  <c r="L60" i="13"/>
  <c r="K60" i="13"/>
  <c r="H60" i="13"/>
  <c r="G60" i="13"/>
  <c r="F60" i="13"/>
  <c r="E60" i="13"/>
  <c r="D60" i="13"/>
  <c r="C60" i="13"/>
  <c r="B60" i="13"/>
  <c r="A60" i="13"/>
  <c r="L59" i="13"/>
  <c r="K59" i="13"/>
  <c r="H59" i="13"/>
  <c r="G59" i="13"/>
  <c r="F59" i="13"/>
  <c r="E59" i="13"/>
  <c r="D59" i="13"/>
  <c r="C59" i="13"/>
  <c r="B59" i="13"/>
  <c r="A59" i="13"/>
  <c r="L58" i="13"/>
  <c r="K58" i="13"/>
  <c r="H58" i="13"/>
  <c r="G58" i="13"/>
  <c r="F58" i="13"/>
  <c r="E58" i="13"/>
  <c r="D58" i="13"/>
  <c r="C58" i="13"/>
  <c r="B58" i="13"/>
  <c r="A58" i="13"/>
  <c r="L57" i="13"/>
  <c r="K57" i="13"/>
  <c r="H57" i="13"/>
  <c r="G57" i="13"/>
  <c r="F57" i="13"/>
  <c r="E57" i="13"/>
  <c r="D57" i="13"/>
  <c r="C57" i="13"/>
  <c r="B57" i="13"/>
  <c r="A57" i="13"/>
  <c r="L56" i="13"/>
  <c r="K56" i="13"/>
  <c r="H56" i="13"/>
  <c r="G56" i="13"/>
  <c r="F56" i="13"/>
  <c r="E56" i="13"/>
  <c r="D56" i="13"/>
  <c r="C56" i="13"/>
  <c r="B56" i="13"/>
  <c r="A56" i="13"/>
  <c r="L55" i="13"/>
  <c r="K55" i="13"/>
  <c r="H55" i="13"/>
  <c r="G55" i="13"/>
  <c r="F55" i="13"/>
  <c r="E55" i="13"/>
  <c r="D55" i="13"/>
  <c r="C55" i="13"/>
  <c r="B55" i="13"/>
  <c r="A55" i="13"/>
  <c r="L54" i="13"/>
  <c r="K54" i="13"/>
  <c r="H54" i="13"/>
  <c r="G54" i="13"/>
  <c r="F54" i="13"/>
  <c r="E54" i="13"/>
  <c r="D54" i="13"/>
  <c r="C54" i="13"/>
  <c r="B54" i="13"/>
  <c r="A54" i="13"/>
  <c r="L53" i="13"/>
  <c r="K53" i="13"/>
  <c r="H53" i="13"/>
  <c r="G53" i="13"/>
  <c r="F53" i="13"/>
  <c r="E53" i="13"/>
  <c r="D53" i="13"/>
  <c r="C53" i="13"/>
  <c r="B53" i="13"/>
  <c r="A53" i="13"/>
  <c r="L52" i="13"/>
  <c r="K52" i="13"/>
  <c r="H52" i="13"/>
  <c r="G52" i="13"/>
  <c r="F52" i="13"/>
  <c r="E52" i="13"/>
  <c r="D52" i="13"/>
  <c r="C52" i="13"/>
  <c r="B52" i="13"/>
  <c r="A52" i="13"/>
  <c r="L51" i="13"/>
  <c r="K51" i="13"/>
  <c r="H51" i="13"/>
  <c r="G51" i="13"/>
  <c r="F51" i="13"/>
  <c r="E51" i="13"/>
  <c r="D51" i="13"/>
  <c r="C51" i="13"/>
  <c r="B51" i="13"/>
  <c r="A51" i="13"/>
  <c r="L50" i="13"/>
  <c r="K50" i="13"/>
  <c r="H50" i="13"/>
  <c r="G50" i="13"/>
  <c r="F50" i="13"/>
  <c r="E50" i="13"/>
  <c r="D50" i="13"/>
  <c r="C50" i="13"/>
  <c r="B50" i="13"/>
  <c r="A50" i="13"/>
  <c r="L49" i="13"/>
  <c r="K49" i="13"/>
  <c r="H49" i="13"/>
  <c r="G49" i="13"/>
  <c r="F49" i="13"/>
  <c r="E49" i="13"/>
  <c r="D49" i="13"/>
  <c r="C49" i="13"/>
  <c r="B49" i="13"/>
  <c r="A49" i="13"/>
  <c r="L48" i="13"/>
  <c r="K48" i="13"/>
  <c r="H48" i="13"/>
  <c r="G48" i="13"/>
  <c r="F48" i="13"/>
  <c r="E48" i="13"/>
  <c r="D48" i="13"/>
  <c r="C48" i="13"/>
  <c r="B48" i="13"/>
  <c r="A48" i="13"/>
  <c r="L47" i="13"/>
  <c r="K47" i="13"/>
  <c r="H47" i="13"/>
  <c r="G47" i="13"/>
  <c r="F47" i="13"/>
  <c r="E47" i="13"/>
  <c r="D47" i="13"/>
  <c r="C47" i="13"/>
  <c r="B47" i="13"/>
  <c r="A47" i="13"/>
  <c r="L46" i="13"/>
  <c r="K46" i="13"/>
  <c r="H46" i="13"/>
  <c r="G46" i="13"/>
  <c r="F46" i="13"/>
  <c r="E46" i="13"/>
  <c r="D46" i="13"/>
  <c r="C46" i="13"/>
  <c r="B46" i="13"/>
  <c r="A46" i="13"/>
  <c r="L45" i="13"/>
  <c r="K45" i="13"/>
  <c r="H45" i="13"/>
  <c r="G45" i="13"/>
  <c r="F45" i="13"/>
  <c r="E45" i="13"/>
  <c r="D45" i="13"/>
  <c r="C45" i="13"/>
  <c r="B45" i="13"/>
  <c r="A45" i="13"/>
  <c r="L44" i="13"/>
  <c r="K44" i="13"/>
  <c r="H44" i="13"/>
  <c r="G44" i="13"/>
  <c r="F44" i="13"/>
  <c r="E44" i="13"/>
  <c r="D44" i="13"/>
  <c r="C44" i="13"/>
  <c r="B44" i="13"/>
  <c r="A44" i="13"/>
  <c r="L43" i="13"/>
  <c r="K43" i="13"/>
  <c r="H43" i="13"/>
  <c r="G43" i="13"/>
  <c r="F43" i="13"/>
  <c r="E43" i="13"/>
  <c r="D43" i="13"/>
  <c r="C43" i="13"/>
  <c r="B43" i="13"/>
  <c r="A43" i="13"/>
  <c r="L42" i="13"/>
  <c r="K42" i="13"/>
  <c r="H42" i="13"/>
  <c r="G42" i="13"/>
  <c r="F42" i="13"/>
  <c r="E42" i="13"/>
  <c r="D42" i="13"/>
  <c r="C42" i="13"/>
  <c r="B42" i="13"/>
  <c r="A42" i="13"/>
  <c r="L41" i="13"/>
  <c r="K41" i="13"/>
  <c r="H41" i="13"/>
  <c r="G41" i="13"/>
  <c r="F41" i="13"/>
  <c r="E41" i="13"/>
  <c r="D41" i="13"/>
  <c r="C41" i="13"/>
  <c r="B41" i="13"/>
  <c r="A41" i="13"/>
  <c r="L40" i="13"/>
  <c r="K40" i="13"/>
  <c r="H40" i="13"/>
  <c r="G40" i="13"/>
  <c r="F40" i="13"/>
  <c r="E40" i="13"/>
  <c r="D40" i="13"/>
  <c r="C40" i="13"/>
  <c r="B40" i="13"/>
  <c r="A40" i="13"/>
  <c r="L39" i="13"/>
  <c r="K39" i="13"/>
  <c r="H39" i="13"/>
  <c r="G39" i="13"/>
  <c r="F39" i="13"/>
  <c r="E39" i="13"/>
  <c r="D39" i="13"/>
  <c r="C39" i="13"/>
  <c r="B39" i="13"/>
  <c r="A39" i="13"/>
  <c r="L38" i="13"/>
  <c r="K38" i="13"/>
  <c r="H38" i="13"/>
  <c r="G38" i="13"/>
  <c r="F38" i="13"/>
  <c r="E38" i="13"/>
  <c r="D38" i="13"/>
  <c r="C38" i="13"/>
  <c r="B38" i="13"/>
  <c r="A38" i="13"/>
  <c r="L37" i="13"/>
  <c r="K37" i="13"/>
  <c r="H37" i="13"/>
  <c r="G37" i="13"/>
  <c r="F37" i="13"/>
  <c r="E37" i="13"/>
  <c r="D37" i="13"/>
  <c r="C37" i="13"/>
  <c r="B37" i="13"/>
  <c r="A37" i="13"/>
  <c r="L36" i="13"/>
  <c r="K36" i="13"/>
  <c r="H36" i="13"/>
  <c r="G36" i="13"/>
  <c r="F36" i="13"/>
  <c r="E36" i="13"/>
  <c r="D36" i="13"/>
  <c r="C36" i="13"/>
  <c r="B36" i="13"/>
  <c r="A36" i="13"/>
  <c r="L35" i="13"/>
  <c r="K35" i="13"/>
  <c r="H35" i="13"/>
  <c r="G35" i="13"/>
  <c r="F35" i="13"/>
  <c r="E35" i="13"/>
  <c r="D35" i="13"/>
  <c r="C35" i="13"/>
  <c r="B35" i="13"/>
  <c r="A35" i="13"/>
  <c r="L34" i="13"/>
  <c r="K34" i="13"/>
  <c r="H34" i="13"/>
  <c r="G34" i="13"/>
  <c r="F34" i="13"/>
  <c r="E34" i="13"/>
  <c r="D34" i="13"/>
  <c r="C34" i="13"/>
  <c r="B34" i="13"/>
  <c r="A34" i="13"/>
  <c r="L33" i="13"/>
  <c r="K33" i="13"/>
  <c r="H33" i="13"/>
  <c r="G33" i="13"/>
  <c r="F33" i="13"/>
  <c r="E33" i="13"/>
  <c r="D33" i="13"/>
  <c r="C33" i="13"/>
  <c r="B33" i="13"/>
  <c r="A33" i="13"/>
  <c r="L32" i="13"/>
  <c r="K32" i="13"/>
  <c r="H32" i="13"/>
  <c r="G32" i="13"/>
  <c r="F32" i="13"/>
  <c r="E32" i="13"/>
  <c r="D32" i="13"/>
  <c r="C32" i="13"/>
  <c r="B32" i="13"/>
  <c r="A32" i="13"/>
  <c r="L31" i="13"/>
  <c r="K31" i="13"/>
  <c r="H31" i="13"/>
  <c r="G31" i="13"/>
  <c r="F31" i="13"/>
  <c r="E31" i="13"/>
  <c r="D31" i="13"/>
  <c r="C31" i="13"/>
  <c r="B31" i="13"/>
  <c r="A31" i="13"/>
  <c r="L30" i="13"/>
  <c r="K30" i="13"/>
  <c r="H30" i="13"/>
  <c r="G30" i="13"/>
  <c r="F30" i="13"/>
  <c r="E30" i="13"/>
  <c r="D30" i="13"/>
  <c r="C30" i="13"/>
  <c r="B30" i="13"/>
  <c r="A30" i="13"/>
  <c r="L29" i="13"/>
  <c r="K29" i="13"/>
  <c r="H29" i="13"/>
  <c r="G29" i="13"/>
  <c r="F29" i="13"/>
  <c r="E29" i="13"/>
  <c r="D29" i="13"/>
  <c r="C29" i="13"/>
  <c r="B29" i="13"/>
  <c r="A29" i="13"/>
  <c r="L28" i="13"/>
  <c r="K28" i="13"/>
  <c r="H28" i="13"/>
  <c r="G28" i="13"/>
  <c r="F28" i="13"/>
  <c r="E28" i="13"/>
  <c r="D28" i="13"/>
  <c r="C28" i="13"/>
  <c r="B28" i="13"/>
  <c r="A28" i="13"/>
  <c r="L27" i="13"/>
  <c r="K27" i="13"/>
  <c r="H27" i="13"/>
  <c r="G27" i="13"/>
  <c r="F27" i="13"/>
  <c r="E27" i="13"/>
  <c r="D27" i="13"/>
  <c r="C27" i="13"/>
  <c r="B27" i="13"/>
  <c r="A27" i="13"/>
  <c r="L26" i="13"/>
  <c r="K26" i="13"/>
  <c r="H26" i="13"/>
  <c r="G26" i="13"/>
  <c r="F26" i="13"/>
  <c r="E26" i="13"/>
  <c r="D26" i="13"/>
  <c r="C26" i="13"/>
  <c r="B26" i="13"/>
  <c r="A26" i="13"/>
  <c r="L25" i="13"/>
  <c r="K25" i="13"/>
  <c r="H25" i="13"/>
  <c r="G25" i="13"/>
  <c r="F25" i="13"/>
  <c r="E25" i="13"/>
  <c r="D25" i="13"/>
  <c r="C25" i="13"/>
  <c r="B25" i="13"/>
  <c r="A25" i="13"/>
  <c r="L24" i="13"/>
  <c r="K24" i="13"/>
  <c r="H24" i="13"/>
  <c r="G24" i="13"/>
  <c r="F24" i="13"/>
  <c r="E24" i="13"/>
  <c r="D24" i="13"/>
  <c r="C24" i="13"/>
  <c r="B24" i="13"/>
  <c r="A24" i="13"/>
  <c r="L23" i="13"/>
  <c r="K23" i="13"/>
  <c r="H23" i="13"/>
  <c r="G23" i="13"/>
  <c r="F23" i="13"/>
  <c r="E23" i="13"/>
  <c r="D23" i="13"/>
  <c r="C23" i="13"/>
  <c r="B23" i="13"/>
  <c r="A23" i="13"/>
  <c r="L22" i="13"/>
  <c r="K22" i="13"/>
  <c r="H22" i="13"/>
  <c r="G22" i="13"/>
  <c r="F22" i="13"/>
  <c r="E22" i="13"/>
  <c r="D22" i="13"/>
  <c r="C22" i="13"/>
  <c r="B22" i="13"/>
  <c r="A22" i="13"/>
  <c r="L21" i="13"/>
  <c r="K21" i="13"/>
  <c r="H21" i="13"/>
  <c r="G21" i="13"/>
  <c r="F21" i="13"/>
  <c r="E21" i="13"/>
  <c r="D21" i="13"/>
  <c r="C21" i="13"/>
  <c r="B21" i="13"/>
  <c r="A21" i="13"/>
  <c r="L20" i="13"/>
  <c r="K20" i="13"/>
  <c r="H20" i="13"/>
  <c r="G20" i="13"/>
  <c r="F20" i="13"/>
  <c r="E20" i="13"/>
  <c r="D20" i="13"/>
  <c r="C20" i="13"/>
  <c r="B20" i="13"/>
  <c r="A20" i="13"/>
  <c r="L19" i="13"/>
  <c r="K19" i="13"/>
  <c r="H19" i="13"/>
  <c r="G19" i="13"/>
  <c r="F19" i="13"/>
  <c r="E19" i="13"/>
  <c r="D19" i="13"/>
  <c r="C19" i="13"/>
  <c r="B19" i="13"/>
  <c r="A19" i="13"/>
  <c r="L18" i="13"/>
  <c r="K18" i="13"/>
  <c r="H18" i="13"/>
  <c r="G18" i="13"/>
  <c r="F18" i="13"/>
  <c r="E18" i="13"/>
  <c r="D18" i="13"/>
  <c r="C18" i="13"/>
  <c r="B18" i="13"/>
  <c r="A18" i="13"/>
  <c r="L17" i="13"/>
  <c r="K17" i="13"/>
  <c r="H17" i="13"/>
  <c r="G17" i="13"/>
  <c r="F17" i="13"/>
  <c r="E17" i="13"/>
  <c r="D17" i="13"/>
  <c r="C17" i="13"/>
  <c r="B17" i="13"/>
  <c r="A17" i="13"/>
  <c r="L16" i="13"/>
  <c r="K16" i="13"/>
  <c r="H16" i="13"/>
  <c r="G16" i="13"/>
  <c r="F16" i="13"/>
  <c r="E16" i="13"/>
  <c r="D16" i="13"/>
  <c r="C16" i="13"/>
  <c r="B16" i="13"/>
  <c r="A16" i="13"/>
  <c r="L15" i="13"/>
  <c r="K15" i="13"/>
  <c r="H15" i="13"/>
  <c r="G15" i="13"/>
  <c r="F15" i="13"/>
  <c r="E15" i="13"/>
  <c r="D15" i="13"/>
  <c r="C15" i="13"/>
  <c r="B15" i="13"/>
  <c r="A15" i="13"/>
  <c r="L14" i="13"/>
  <c r="K14" i="13"/>
  <c r="H14" i="13"/>
  <c r="G14" i="13"/>
  <c r="F14" i="13"/>
  <c r="E14" i="13"/>
  <c r="D14" i="13"/>
  <c r="C14" i="13"/>
  <c r="B14" i="13"/>
  <c r="A14" i="13"/>
  <c r="L13" i="13"/>
  <c r="K13" i="13"/>
  <c r="H13" i="13"/>
  <c r="G13" i="13"/>
  <c r="F13" i="13"/>
  <c r="E13" i="13"/>
  <c r="D13" i="13"/>
  <c r="C13" i="13"/>
  <c r="B13" i="13"/>
  <c r="A13" i="13"/>
  <c r="L12" i="13"/>
  <c r="K12" i="13"/>
  <c r="H12" i="13"/>
  <c r="G12" i="13"/>
  <c r="F12" i="13"/>
  <c r="E12" i="13"/>
  <c r="D12" i="13"/>
  <c r="C12" i="13"/>
  <c r="B12" i="13"/>
  <c r="A12" i="13"/>
  <c r="L11" i="13"/>
  <c r="K11" i="13"/>
  <c r="H11" i="13"/>
  <c r="G11" i="13"/>
  <c r="F11" i="13"/>
  <c r="E11" i="13"/>
  <c r="D11" i="13"/>
  <c r="C11" i="13"/>
  <c r="B11" i="13"/>
  <c r="A11" i="13"/>
  <c r="L10" i="13"/>
  <c r="K10" i="13"/>
  <c r="H10" i="13"/>
  <c r="G10" i="13"/>
  <c r="F10" i="13"/>
  <c r="E10" i="13"/>
  <c r="D10" i="13"/>
  <c r="C10" i="13"/>
  <c r="B10" i="13"/>
  <c r="A10" i="13"/>
  <c r="L9" i="13"/>
  <c r="K9" i="13"/>
  <c r="H9" i="13"/>
  <c r="G9" i="13"/>
  <c r="F9" i="13"/>
  <c r="E9" i="13"/>
  <c r="D9" i="13"/>
  <c r="C9" i="13"/>
  <c r="B9" i="13"/>
  <c r="A9" i="13"/>
  <c r="L8" i="13"/>
  <c r="K8" i="13"/>
  <c r="H8" i="13"/>
  <c r="G8" i="13"/>
  <c r="F8" i="13"/>
  <c r="E8" i="13"/>
  <c r="D8" i="13"/>
  <c r="C8" i="13"/>
  <c r="B8" i="13"/>
  <c r="A8" i="13"/>
  <c r="K7" i="13"/>
  <c r="H7" i="13"/>
  <c r="G7" i="13"/>
  <c r="F7" i="13"/>
  <c r="E7" i="13"/>
  <c r="D7" i="13"/>
  <c r="C7" i="13"/>
  <c r="B7" i="13"/>
  <c r="A7" i="13"/>
  <c r="J2" i="13"/>
  <c r="D21" i="1" s="1"/>
  <c r="L110" i="12"/>
  <c r="K110" i="12"/>
  <c r="H110" i="12"/>
  <c r="G110" i="12"/>
  <c r="F110" i="12"/>
  <c r="E110" i="12"/>
  <c r="D110" i="12"/>
  <c r="C110" i="12"/>
  <c r="B110" i="12"/>
  <c r="A110" i="12"/>
  <c r="L109" i="12"/>
  <c r="K109" i="12"/>
  <c r="H109" i="12"/>
  <c r="G109" i="12"/>
  <c r="F109" i="12"/>
  <c r="E109" i="12"/>
  <c r="D109" i="12"/>
  <c r="C109" i="12"/>
  <c r="B109" i="12"/>
  <c r="A109" i="12"/>
  <c r="L108" i="12"/>
  <c r="K108" i="12"/>
  <c r="H108" i="12"/>
  <c r="G108" i="12"/>
  <c r="F108" i="12"/>
  <c r="E108" i="12"/>
  <c r="D108" i="12"/>
  <c r="C108" i="12"/>
  <c r="B108" i="12"/>
  <c r="A108" i="12"/>
  <c r="L107" i="12"/>
  <c r="K107" i="12"/>
  <c r="H107" i="12"/>
  <c r="G107" i="12"/>
  <c r="F107" i="12"/>
  <c r="E107" i="12"/>
  <c r="D107" i="12"/>
  <c r="C107" i="12"/>
  <c r="B107" i="12"/>
  <c r="A107" i="12"/>
  <c r="L106" i="12"/>
  <c r="K106" i="12"/>
  <c r="H106" i="12"/>
  <c r="G106" i="12"/>
  <c r="F106" i="12"/>
  <c r="E106" i="12"/>
  <c r="D106" i="12"/>
  <c r="C106" i="12"/>
  <c r="B106" i="12"/>
  <c r="A106" i="12"/>
  <c r="L105" i="12"/>
  <c r="K105" i="12"/>
  <c r="H105" i="12"/>
  <c r="G105" i="12"/>
  <c r="F105" i="12"/>
  <c r="E105" i="12"/>
  <c r="D105" i="12"/>
  <c r="C105" i="12"/>
  <c r="B105" i="12"/>
  <c r="A105" i="12"/>
  <c r="L104" i="12"/>
  <c r="K104" i="12"/>
  <c r="H104" i="12"/>
  <c r="G104" i="12"/>
  <c r="F104" i="12"/>
  <c r="E104" i="12"/>
  <c r="D104" i="12"/>
  <c r="C104" i="12"/>
  <c r="B104" i="12"/>
  <c r="A104" i="12"/>
  <c r="L103" i="12"/>
  <c r="K103" i="12"/>
  <c r="H103" i="12"/>
  <c r="G103" i="12"/>
  <c r="F103" i="12"/>
  <c r="E103" i="12"/>
  <c r="D103" i="12"/>
  <c r="C103" i="12"/>
  <c r="B103" i="12"/>
  <c r="A103" i="12"/>
  <c r="L102" i="12"/>
  <c r="K102" i="12"/>
  <c r="H102" i="12"/>
  <c r="G102" i="12"/>
  <c r="F102" i="12"/>
  <c r="E102" i="12"/>
  <c r="D102" i="12"/>
  <c r="C102" i="12"/>
  <c r="B102" i="12"/>
  <c r="A102" i="12"/>
  <c r="L101" i="12"/>
  <c r="K101" i="12"/>
  <c r="H101" i="12"/>
  <c r="G101" i="12"/>
  <c r="F101" i="12"/>
  <c r="E101" i="12"/>
  <c r="D101" i="12"/>
  <c r="C101" i="12"/>
  <c r="B101" i="12"/>
  <c r="A101" i="12"/>
  <c r="L100" i="12"/>
  <c r="K100" i="12"/>
  <c r="H100" i="12"/>
  <c r="G100" i="12"/>
  <c r="F100" i="12"/>
  <c r="E100" i="12"/>
  <c r="D100" i="12"/>
  <c r="C100" i="12"/>
  <c r="B100" i="12"/>
  <c r="A100" i="12"/>
  <c r="L99" i="12"/>
  <c r="K99" i="12"/>
  <c r="H99" i="12"/>
  <c r="G99" i="12"/>
  <c r="F99" i="12"/>
  <c r="E99" i="12"/>
  <c r="D99" i="12"/>
  <c r="C99" i="12"/>
  <c r="B99" i="12"/>
  <c r="A99" i="12"/>
  <c r="L98" i="12"/>
  <c r="K98" i="12"/>
  <c r="H98" i="12"/>
  <c r="G98" i="12"/>
  <c r="F98" i="12"/>
  <c r="E98" i="12"/>
  <c r="D98" i="12"/>
  <c r="C98" i="12"/>
  <c r="B98" i="12"/>
  <c r="A98" i="12"/>
  <c r="L97" i="12"/>
  <c r="K97" i="12"/>
  <c r="H97" i="12"/>
  <c r="G97" i="12"/>
  <c r="F97" i="12"/>
  <c r="E97" i="12"/>
  <c r="D97" i="12"/>
  <c r="C97" i="12"/>
  <c r="B97" i="12"/>
  <c r="A97" i="12"/>
  <c r="L96" i="12"/>
  <c r="K96" i="12"/>
  <c r="H96" i="12"/>
  <c r="G96" i="12"/>
  <c r="F96" i="12"/>
  <c r="E96" i="12"/>
  <c r="D96" i="12"/>
  <c r="C96" i="12"/>
  <c r="B96" i="12"/>
  <c r="A96" i="12"/>
  <c r="L95" i="12"/>
  <c r="K95" i="12"/>
  <c r="H95" i="12"/>
  <c r="G95" i="12"/>
  <c r="F95" i="12"/>
  <c r="E95" i="12"/>
  <c r="D95" i="12"/>
  <c r="C95" i="12"/>
  <c r="B95" i="12"/>
  <c r="A95" i="12"/>
  <c r="L94" i="12"/>
  <c r="K94" i="12"/>
  <c r="H94" i="12"/>
  <c r="G94" i="12"/>
  <c r="F94" i="12"/>
  <c r="E94" i="12"/>
  <c r="D94" i="12"/>
  <c r="C94" i="12"/>
  <c r="B94" i="12"/>
  <c r="A94" i="12"/>
  <c r="L93" i="12"/>
  <c r="K93" i="12"/>
  <c r="H93" i="12"/>
  <c r="G93" i="12"/>
  <c r="F93" i="12"/>
  <c r="E93" i="12"/>
  <c r="D93" i="12"/>
  <c r="C93" i="12"/>
  <c r="B93" i="12"/>
  <c r="A93" i="12"/>
  <c r="L92" i="12"/>
  <c r="K92" i="12"/>
  <c r="H92" i="12"/>
  <c r="G92" i="12"/>
  <c r="F92" i="12"/>
  <c r="E92" i="12"/>
  <c r="D92" i="12"/>
  <c r="C92" i="12"/>
  <c r="B92" i="12"/>
  <c r="A92" i="12"/>
  <c r="L91" i="12"/>
  <c r="K91" i="12"/>
  <c r="H91" i="12"/>
  <c r="G91" i="12"/>
  <c r="F91" i="12"/>
  <c r="E91" i="12"/>
  <c r="D91" i="12"/>
  <c r="C91" i="12"/>
  <c r="B91" i="12"/>
  <c r="A91" i="12"/>
  <c r="L90" i="12"/>
  <c r="K90" i="12"/>
  <c r="H90" i="12"/>
  <c r="G90" i="12"/>
  <c r="F90" i="12"/>
  <c r="E90" i="12"/>
  <c r="D90" i="12"/>
  <c r="C90" i="12"/>
  <c r="B90" i="12"/>
  <c r="A90" i="12"/>
  <c r="L89" i="12"/>
  <c r="K89" i="12"/>
  <c r="H89" i="12"/>
  <c r="G89" i="12"/>
  <c r="F89" i="12"/>
  <c r="E89" i="12"/>
  <c r="D89" i="12"/>
  <c r="C89" i="12"/>
  <c r="B89" i="12"/>
  <c r="A89" i="12"/>
  <c r="L88" i="12"/>
  <c r="K88" i="12"/>
  <c r="H88" i="12"/>
  <c r="G88" i="12"/>
  <c r="F88" i="12"/>
  <c r="E88" i="12"/>
  <c r="D88" i="12"/>
  <c r="C88" i="12"/>
  <c r="B88" i="12"/>
  <c r="A88" i="12"/>
  <c r="L87" i="12"/>
  <c r="K87" i="12"/>
  <c r="H87" i="12"/>
  <c r="G87" i="12"/>
  <c r="F87" i="12"/>
  <c r="E87" i="12"/>
  <c r="D87" i="12"/>
  <c r="C87" i="12"/>
  <c r="B87" i="12"/>
  <c r="A87" i="12"/>
  <c r="L86" i="12"/>
  <c r="K86" i="12"/>
  <c r="H86" i="12"/>
  <c r="G86" i="12"/>
  <c r="F86" i="12"/>
  <c r="E86" i="12"/>
  <c r="D86" i="12"/>
  <c r="C86" i="12"/>
  <c r="B86" i="12"/>
  <c r="A86" i="12"/>
  <c r="L85" i="12"/>
  <c r="K85" i="12"/>
  <c r="H85" i="12"/>
  <c r="G85" i="12"/>
  <c r="F85" i="12"/>
  <c r="E85" i="12"/>
  <c r="D85" i="12"/>
  <c r="C85" i="12"/>
  <c r="B85" i="12"/>
  <c r="A85" i="12"/>
  <c r="L84" i="12"/>
  <c r="K84" i="12"/>
  <c r="H84" i="12"/>
  <c r="G84" i="12"/>
  <c r="F84" i="12"/>
  <c r="E84" i="12"/>
  <c r="D84" i="12"/>
  <c r="C84" i="12"/>
  <c r="B84" i="12"/>
  <c r="A84" i="12"/>
  <c r="L83" i="12"/>
  <c r="K83" i="12"/>
  <c r="H83" i="12"/>
  <c r="G83" i="12"/>
  <c r="F83" i="12"/>
  <c r="E83" i="12"/>
  <c r="D83" i="12"/>
  <c r="C83" i="12"/>
  <c r="B83" i="12"/>
  <c r="A83" i="12"/>
  <c r="L82" i="12"/>
  <c r="K82" i="12"/>
  <c r="H82" i="12"/>
  <c r="G82" i="12"/>
  <c r="F82" i="12"/>
  <c r="E82" i="12"/>
  <c r="D82" i="12"/>
  <c r="C82" i="12"/>
  <c r="B82" i="12"/>
  <c r="A82" i="12"/>
  <c r="L81" i="12"/>
  <c r="K81" i="12"/>
  <c r="H81" i="12"/>
  <c r="G81" i="12"/>
  <c r="F81" i="12"/>
  <c r="E81" i="12"/>
  <c r="D81" i="12"/>
  <c r="C81" i="12"/>
  <c r="B81" i="12"/>
  <c r="A81" i="12"/>
  <c r="L80" i="12"/>
  <c r="K80" i="12"/>
  <c r="H80" i="12"/>
  <c r="G80" i="12"/>
  <c r="F80" i="12"/>
  <c r="E80" i="12"/>
  <c r="D80" i="12"/>
  <c r="C80" i="12"/>
  <c r="B80" i="12"/>
  <c r="A80" i="12"/>
  <c r="L79" i="12"/>
  <c r="K79" i="12"/>
  <c r="H79" i="12"/>
  <c r="G79" i="12"/>
  <c r="F79" i="12"/>
  <c r="E79" i="12"/>
  <c r="D79" i="12"/>
  <c r="C79" i="12"/>
  <c r="B79" i="12"/>
  <c r="A79" i="12"/>
  <c r="L78" i="12"/>
  <c r="K78" i="12"/>
  <c r="H78" i="12"/>
  <c r="G78" i="12"/>
  <c r="F78" i="12"/>
  <c r="E78" i="12"/>
  <c r="D78" i="12"/>
  <c r="C78" i="12"/>
  <c r="B78" i="12"/>
  <c r="A78" i="12"/>
  <c r="L77" i="12"/>
  <c r="K77" i="12"/>
  <c r="H77" i="12"/>
  <c r="G77" i="12"/>
  <c r="F77" i="12"/>
  <c r="E77" i="12"/>
  <c r="D77" i="12"/>
  <c r="C77" i="12"/>
  <c r="B77" i="12"/>
  <c r="A77" i="12"/>
  <c r="L76" i="12"/>
  <c r="K76" i="12"/>
  <c r="H76" i="12"/>
  <c r="G76" i="12"/>
  <c r="F76" i="12"/>
  <c r="E76" i="12"/>
  <c r="D76" i="12"/>
  <c r="C76" i="12"/>
  <c r="B76" i="12"/>
  <c r="A76" i="12"/>
  <c r="L75" i="12"/>
  <c r="K75" i="12"/>
  <c r="H75" i="12"/>
  <c r="G75" i="12"/>
  <c r="F75" i="12"/>
  <c r="E75" i="12"/>
  <c r="D75" i="12"/>
  <c r="C75" i="12"/>
  <c r="B75" i="12"/>
  <c r="A75" i="12"/>
  <c r="L74" i="12"/>
  <c r="K74" i="12"/>
  <c r="H74" i="12"/>
  <c r="G74" i="12"/>
  <c r="F74" i="12"/>
  <c r="E74" i="12"/>
  <c r="D74" i="12"/>
  <c r="C74" i="12"/>
  <c r="B74" i="12"/>
  <c r="A74" i="12"/>
  <c r="L73" i="12"/>
  <c r="K73" i="12"/>
  <c r="H73" i="12"/>
  <c r="G73" i="12"/>
  <c r="F73" i="12"/>
  <c r="E73" i="12"/>
  <c r="D73" i="12"/>
  <c r="C73" i="12"/>
  <c r="B73" i="12"/>
  <c r="A73" i="12"/>
  <c r="L72" i="12"/>
  <c r="K72" i="12"/>
  <c r="H72" i="12"/>
  <c r="G72" i="12"/>
  <c r="F72" i="12"/>
  <c r="E72" i="12"/>
  <c r="D72" i="12"/>
  <c r="C72" i="12"/>
  <c r="B72" i="12"/>
  <c r="A72" i="12"/>
  <c r="L71" i="12"/>
  <c r="K71" i="12"/>
  <c r="H71" i="12"/>
  <c r="G71" i="12"/>
  <c r="F71" i="12"/>
  <c r="E71" i="12"/>
  <c r="D71" i="12"/>
  <c r="C71" i="12"/>
  <c r="B71" i="12"/>
  <c r="A71" i="12"/>
  <c r="L70" i="12"/>
  <c r="K70" i="12"/>
  <c r="H70" i="12"/>
  <c r="G70" i="12"/>
  <c r="F70" i="12"/>
  <c r="E70" i="12"/>
  <c r="D70" i="12"/>
  <c r="C70" i="12"/>
  <c r="B70" i="12"/>
  <c r="A70" i="12"/>
  <c r="L69" i="12"/>
  <c r="K69" i="12"/>
  <c r="H69" i="12"/>
  <c r="G69" i="12"/>
  <c r="F69" i="12"/>
  <c r="E69" i="12"/>
  <c r="D69" i="12"/>
  <c r="C69" i="12"/>
  <c r="B69" i="12"/>
  <c r="A69" i="12"/>
  <c r="L68" i="12"/>
  <c r="K68" i="12"/>
  <c r="H68" i="12"/>
  <c r="G68" i="12"/>
  <c r="F68" i="12"/>
  <c r="E68" i="12"/>
  <c r="D68" i="12"/>
  <c r="C68" i="12"/>
  <c r="B68" i="12"/>
  <c r="A68" i="12"/>
  <c r="L67" i="12"/>
  <c r="K67" i="12"/>
  <c r="H67" i="12"/>
  <c r="G67" i="12"/>
  <c r="F67" i="12"/>
  <c r="E67" i="12"/>
  <c r="D67" i="12"/>
  <c r="C67" i="12"/>
  <c r="B67" i="12"/>
  <c r="A67" i="12"/>
  <c r="L66" i="12"/>
  <c r="K66" i="12"/>
  <c r="H66" i="12"/>
  <c r="G66" i="12"/>
  <c r="F66" i="12"/>
  <c r="E66" i="12"/>
  <c r="D66" i="12"/>
  <c r="C66" i="12"/>
  <c r="B66" i="12"/>
  <c r="A66" i="12"/>
  <c r="L65" i="12"/>
  <c r="K65" i="12"/>
  <c r="H65" i="12"/>
  <c r="G65" i="12"/>
  <c r="F65" i="12"/>
  <c r="E65" i="12"/>
  <c r="D65" i="12"/>
  <c r="C65" i="12"/>
  <c r="B65" i="12"/>
  <c r="A65" i="12"/>
  <c r="L64" i="12"/>
  <c r="K64" i="12"/>
  <c r="H64" i="12"/>
  <c r="G64" i="12"/>
  <c r="F64" i="12"/>
  <c r="E64" i="12"/>
  <c r="D64" i="12"/>
  <c r="C64" i="12"/>
  <c r="B64" i="12"/>
  <c r="A64" i="12"/>
  <c r="L63" i="12"/>
  <c r="K63" i="12"/>
  <c r="H63" i="12"/>
  <c r="G63" i="12"/>
  <c r="F63" i="12"/>
  <c r="E63" i="12"/>
  <c r="D63" i="12"/>
  <c r="C63" i="12"/>
  <c r="B63" i="12"/>
  <c r="A63" i="12"/>
  <c r="L62" i="12"/>
  <c r="K62" i="12"/>
  <c r="H62" i="12"/>
  <c r="G62" i="12"/>
  <c r="F62" i="12"/>
  <c r="E62" i="12"/>
  <c r="D62" i="12"/>
  <c r="C62" i="12"/>
  <c r="B62" i="12"/>
  <c r="A62" i="12"/>
  <c r="L61" i="12"/>
  <c r="K61" i="12"/>
  <c r="H61" i="12"/>
  <c r="G61" i="12"/>
  <c r="F61" i="12"/>
  <c r="E61" i="12"/>
  <c r="D61" i="12"/>
  <c r="C61" i="12"/>
  <c r="B61" i="12"/>
  <c r="A61" i="12"/>
  <c r="L60" i="12"/>
  <c r="K60" i="12"/>
  <c r="H60" i="12"/>
  <c r="G60" i="12"/>
  <c r="F60" i="12"/>
  <c r="E60" i="12"/>
  <c r="D60" i="12"/>
  <c r="C60" i="12"/>
  <c r="B60" i="12"/>
  <c r="A60" i="12"/>
  <c r="L59" i="12"/>
  <c r="K59" i="12"/>
  <c r="H59" i="12"/>
  <c r="G59" i="12"/>
  <c r="F59" i="12"/>
  <c r="E59" i="12"/>
  <c r="D59" i="12"/>
  <c r="C59" i="12"/>
  <c r="B59" i="12"/>
  <c r="A59" i="12"/>
  <c r="L58" i="12"/>
  <c r="K58" i="12"/>
  <c r="H58" i="12"/>
  <c r="G58" i="12"/>
  <c r="F58" i="12"/>
  <c r="E58" i="12"/>
  <c r="D58" i="12"/>
  <c r="C58" i="12"/>
  <c r="B58" i="12"/>
  <c r="A58" i="12"/>
  <c r="L57" i="12"/>
  <c r="K57" i="12"/>
  <c r="H57" i="12"/>
  <c r="G57" i="12"/>
  <c r="F57" i="12"/>
  <c r="E57" i="12"/>
  <c r="D57" i="12"/>
  <c r="C57" i="12"/>
  <c r="B57" i="12"/>
  <c r="A57" i="12"/>
  <c r="L56" i="12"/>
  <c r="K56" i="12"/>
  <c r="H56" i="12"/>
  <c r="G56" i="12"/>
  <c r="F56" i="12"/>
  <c r="E56" i="12"/>
  <c r="D56" i="12"/>
  <c r="C56" i="12"/>
  <c r="B56" i="12"/>
  <c r="A56" i="12"/>
  <c r="L55" i="12"/>
  <c r="K55" i="12"/>
  <c r="H55" i="12"/>
  <c r="G55" i="12"/>
  <c r="F55" i="12"/>
  <c r="E55" i="12"/>
  <c r="D55" i="12"/>
  <c r="C55" i="12"/>
  <c r="B55" i="12"/>
  <c r="A55" i="12"/>
  <c r="L54" i="12"/>
  <c r="K54" i="12"/>
  <c r="H54" i="12"/>
  <c r="G54" i="12"/>
  <c r="F54" i="12"/>
  <c r="E54" i="12"/>
  <c r="D54" i="12"/>
  <c r="C54" i="12"/>
  <c r="B54" i="12"/>
  <c r="A54" i="12"/>
  <c r="L53" i="12"/>
  <c r="K53" i="12"/>
  <c r="H53" i="12"/>
  <c r="G53" i="12"/>
  <c r="F53" i="12"/>
  <c r="E53" i="12"/>
  <c r="D53" i="12"/>
  <c r="C53" i="12"/>
  <c r="B53" i="12"/>
  <c r="A53" i="12"/>
  <c r="L52" i="12"/>
  <c r="K52" i="12"/>
  <c r="H52" i="12"/>
  <c r="G52" i="12"/>
  <c r="F52" i="12"/>
  <c r="E52" i="12"/>
  <c r="D52" i="12"/>
  <c r="C52" i="12"/>
  <c r="B52" i="12"/>
  <c r="A52" i="12"/>
  <c r="L51" i="12"/>
  <c r="K51" i="12"/>
  <c r="H51" i="12"/>
  <c r="G51" i="12"/>
  <c r="F51" i="12"/>
  <c r="E51" i="12"/>
  <c r="D51" i="12"/>
  <c r="C51" i="12"/>
  <c r="B51" i="12"/>
  <c r="A51" i="12"/>
  <c r="L50" i="12"/>
  <c r="K50" i="12"/>
  <c r="H50" i="12"/>
  <c r="G50" i="12"/>
  <c r="F50" i="12"/>
  <c r="E50" i="12"/>
  <c r="D50" i="12"/>
  <c r="C50" i="12"/>
  <c r="B50" i="12"/>
  <c r="A50" i="12"/>
  <c r="L49" i="12"/>
  <c r="K49" i="12"/>
  <c r="H49" i="12"/>
  <c r="G49" i="12"/>
  <c r="F49" i="12"/>
  <c r="E49" i="12"/>
  <c r="D49" i="12"/>
  <c r="C49" i="12"/>
  <c r="B49" i="12"/>
  <c r="A49" i="12"/>
  <c r="L48" i="12"/>
  <c r="K48" i="12"/>
  <c r="H48" i="12"/>
  <c r="G48" i="12"/>
  <c r="F48" i="12"/>
  <c r="E48" i="12"/>
  <c r="D48" i="12"/>
  <c r="C48" i="12"/>
  <c r="B48" i="12"/>
  <c r="A48" i="12"/>
  <c r="L47" i="12"/>
  <c r="K47" i="12"/>
  <c r="H47" i="12"/>
  <c r="G47" i="12"/>
  <c r="F47" i="12"/>
  <c r="E47" i="12"/>
  <c r="D47" i="12"/>
  <c r="C47" i="12"/>
  <c r="B47" i="12"/>
  <c r="A47" i="12"/>
  <c r="L46" i="12"/>
  <c r="K46" i="12"/>
  <c r="H46" i="12"/>
  <c r="G46" i="12"/>
  <c r="F46" i="12"/>
  <c r="E46" i="12"/>
  <c r="D46" i="12"/>
  <c r="C46" i="12"/>
  <c r="B46" i="12"/>
  <c r="A46" i="12"/>
  <c r="L45" i="12"/>
  <c r="K45" i="12"/>
  <c r="H45" i="12"/>
  <c r="G45" i="12"/>
  <c r="F45" i="12"/>
  <c r="E45" i="12"/>
  <c r="D45" i="12"/>
  <c r="C45" i="12"/>
  <c r="B45" i="12"/>
  <c r="A45" i="12"/>
  <c r="L44" i="12"/>
  <c r="K44" i="12"/>
  <c r="H44" i="12"/>
  <c r="G44" i="12"/>
  <c r="F44" i="12"/>
  <c r="E44" i="12"/>
  <c r="D44" i="12"/>
  <c r="C44" i="12"/>
  <c r="B44" i="12"/>
  <c r="A44" i="12"/>
  <c r="L43" i="12"/>
  <c r="K43" i="12"/>
  <c r="H43" i="12"/>
  <c r="G43" i="12"/>
  <c r="F43" i="12"/>
  <c r="E43" i="12"/>
  <c r="D43" i="12"/>
  <c r="C43" i="12"/>
  <c r="B43" i="12"/>
  <c r="A43" i="12"/>
  <c r="L42" i="12"/>
  <c r="K42" i="12"/>
  <c r="H42" i="12"/>
  <c r="G42" i="12"/>
  <c r="F42" i="12"/>
  <c r="E42" i="12"/>
  <c r="D42" i="12"/>
  <c r="C42" i="12"/>
  <c r="B42" i="12"/>
  <c r="A42" i="12"/>
  <c r="L41" i="12"/>
  <c r="K41" i="12"/>
  <c r="H41" i="12"/>
  <c r="G41" i="12"/>
  <c r="F41" i="12"/>
  <c r="E41" i="12"/>
  <c r="D41" i="12"/>
  <c r="C41" i="12"/>
  <c r="B41" i="12"/>
  <c r="A41" i="12"/>
  <c r="L40" i="12"/>
  <c r="K40" i="12"/>
  <c r="H40" i="12"/>
  <c r="G40" i="12"/>
  <c r="F40" i="12"/>
  <c r="E40" i="12"/>
  <c r="D40" i="12"/>
  <c r="C40" i="12"/>
  <c r="B40" i="12"/>
  <c r="A40" i="12"/>
  <c r="L39" i="12"/>
  <c r="K39" i="12"/>
  <c r="H39" i="12"/>
  <c r="G39" i="12"/>
  <c r="F39" i="12"/>
  <c r="E39" i="12"/>
  <c r="D39" i="12"/>
  <c r="C39" i="12"/>
  <c r="B39" i="12"/>
  <c r="A39" i="12"/>
  <c r="L38" i="12"/>
  <c r="K38" i="12"/>
  <c r="H38" i="12"/>
  <c r="G38" i="12"/>
  <c r="F38" i="12"/>
  <c r="E38" i="12"/>
  <c r="D38" i="12"/>
  <c r="C38" i="12"/>
  <c r="B38" i="12"/>
  <c r="A38" i="12"/>
  <c r="L37" i="12"/>
  <c r="K37" i="12"/>
  <c r="H37" i="12"/>
  <c r="G37" i="12"/>
  <c r="F37" i="12"/>
  <c r="E37" i="12"/>
  <c r="D37" i="12"/>
  <c r="C37" i="12"/>
  <c r="B37" i="12"/>
  <c r="A37" i="12"/>
  <c r="L36" i="12"/>
  <c r="K36" i="12"/>
  <c r="H36" i="12"/>
  <c r="G36" i="12"/>
  <c r="F36" i="12"/>
  <c r="E36" i="12"/>
  <c r="D36" i="12"/>
  <c r="C36" i="12"/>
  <c r="B36" i="12"/>
  <c r="A36" i="12"/>
  <c r="L35" i="12"/>
  <c r="K35" i="12"/>
  <c r="H35" i="12"/>
  <c r="G35" i="12"/>
  <c r="F35" i="12"/>
  <c r="E35" i="12"/>
  <c r="D35" i="12"/>
  <c r="C35" i="12"/>
  <c r="B35" i="12"/>
  <c r="A35" i="12"/>
  <c r="L34" i="12"/>
  <c r="K34" i="12"/>
  <c r="H34" i="12"/>
  <c r="G34" i="12"/>
  <c r="F34" i="12"/>
  <c r="E34" i="12"/>
  <c r="D34" i="12"/>
  <c r="C34" i="12"/>
  <c r="B34" i="12"/>
  <c r="A34" i="12"/>
  <c r="L33" i="12"/>
  <c r="K33" i="12"/>
  <c r="H33" i="12"/>
  <c r="G33" i="12"/>
  <c r="F33" i="12"/>
  <c r="E33" i="12"/>
  <c r="D33" i="12"/>
  <c r="C33" i="12"/>
  <c r="B33" i="12"/>
  <c r="A33" i="12"/>
  <c r="L32" i="12"/>
  <c r="K32" i="12"/>
  <c r="H32" i="12"/>
  <c r="G32" i="12"/>
  <c r="F32" i="12"/>
  <c r="E32" i="12"/>
  <c r="D32" i="12"/>
  <c r="C32" i="12"/>
  <c r="B32" i="12"/>
  <c r="A32" i="12"/>
  <c r="L31" i="12"/>
  <c r="K31" i="12"/>
  <c r="H31" i="12"/>
  <c r="G31" i="12"/>
  <c r="F31" i="12"/>
  <c r="E31" i="12"/>
  <c r="D31" i="12"/>
  <c r="C31" i="12"/>
  <c r="B31" i="12"/>
  <c r="A31" i="12"/>
  <c r="L30" i="12"/>
  <c r="K30" i="12"/>
  <c r="H30" i="12"/>
  <c r="G30" i="12"/>
  <c r="F30" i="12"/>
  <c r="E30" i="12"/>
  <c r="D30" i="12"/>
  <c r="C30" i="12"/>
  <c r="B30" i="12"/>
  <c r="A30" i="12"/>
  <c r="L29" i="12"/>
  <c r="K29" i="12"/>
  <c r="H29" i="12"/>
  <c r="G29" i="12"/>
  <c r="F29" i="12"/>
  <c r="E29" i="12"/>
  <c r="D29" i="12"/>
  <c r="C29" i="12"/>
  <c r="B29" i="12"/>
  <c r="A29" i="12"/>
  <c r="L28" i="12"/>
  <c r="K28" i="12"/>
  <c r="H28" i="12"/>
  <c r="G28" i="12"/>
  <c r="F28" i="12"/>
  <c r="E28" i="12"/>
  <c r="D28" i="12"/>
  <c r="C28" i="12"/>
  <c r="B28" i="12"/>
  <c r="A28" i="12"/>
  <c r="L27" i="12"/>
  <c r="K27" i="12"/>
  <c r="H27" i="12"/>
  <c r="G27" i="12"/>
  <c r="F27" i="12"/>
  <c r="E27" i="12"/>
  <c r="D27" i="12"/>
  <c r="C27" i="12"/>
  <c r="B27" i="12"/>
  <c r="A27" i="12"/>
  <c r="L26" i="12"/>
  <c r="K26" i="12"/>
  <c r="H26" i="12"/>
  <c r="G26" i="12"/>
  <c r="F26" i="12"/>
  <c r="E26" i="12"/>
  <c r="D26" i="12"/>
  <c r="C26" i="12"/>
  <c r="B26" i="12"/>
  <c r="A26" i="12"/>
  <c r="L25" i="12"/>
  <c r="K25" i="12"/>
  <c r="H25" i="12"/>
  <c r="G25" i="12"/>
  <c r="F25" i="12"/>
  <c r="E25" i="12"/>
  <c r="D25" i="12"/>
  <c r="C25" i="12"/>
  <c r="B25" i="12"/>
  <c r="A25" i="12"/>
  <c r="L24" i="12"/>
  <c r="K24" i="12"/>
  <c r="H24" i="12"/>
  <c r="G24" i="12"/>
  <c r="F24" i="12"/>
  <c r="E24" i="12"/>
  <c r="D24" i="12"/>
  <c r="C24" i="12"/>
  <c r="B24" i="12"/>
  <c r="A24" i="12"/>
  <c r="L23" i="12"/>
  <c r="K23" i="12"/>
  <c r="H23" i="12"/>
  <c r="G23" i="12"/>
  <c r="F23" i="12"/>
  <c r="E23" i="12"/>
  <c r="D23" i="12"/>
  <c r="C23" i="12"/>
  <c r="B23" i="12"/>
  <c r="A23" i="12"/>
  <c r="L22" i="12"/>
  <c r="K22" i="12"/>
  <c r="H22" i="12"/>
  <c r="G22" i="12"/>
  <c r="F22" i="12"/>
  <c r="E22" i="12"/>
  <c r="D22" i="12"/>
  <c r="C22" i="12"/>
  <c r="B22" i="12"/>
  <c r="A22" i="12"/>
  <c r="L21" i="12"/>
  <c r="K21" i="12"/>
  <c r="H21" i="12"/>
  <c r="G21" i="12"/>
  <c r="F21" i="12"/>
  <c r="E21" i="12"/>
  <c r="D21" i="12"/>
  <c r="C21" i="12"/>
  <c r="B21" i="12"/>
  <c r="A21" i="12"/>
  <c r="L20" i="12"/>
  <c r="K20" i="12"/>
  <c r="H20" i="12"/>
  <c r="G20" i="12"/>
  <c r="F20" i="12"/>
  <c r="E20" i="12"/>
  <c r="D20" i="12"/>
  <c r="C20" i="12"/>
  <c r="B20" i="12"/>
  <c r="A20" i="12"/>
  <c r="L19" i="12"/>
  <c r="K19" i="12"/>
  <c r="H19" i="12"/>
  <c r="G19" i="12"/>
  <c r="F19" i="12"/>
  <c r="E19" i="12"/>
  <c r="D19" i="12"/>
  <c r="C19" i="12"/>
  <c r="B19" i="12"/>
  <c r="A19" i="12"/>
  <c r="L18" i="12"/>
  <c r="K18" i="12"/>
  <c r="H18" i="12"/>
  <c r="G18" i="12"/>
  <c r="F18" i="12"/>
  <c r="E18" i="12"/>
  <c r="D18" i="12"/>
  <c r="C18" i="12"/>
  <c r="B18" i="12"/>
  <c r="A18" i="12"/>
  <c r="L17" i="12"/>
  <c r="K17" i="12"/>
  <c r="H17" i="12"/>
  <c r="G17" i="12"/>
  <c r="F17" i="12"/>
  <c r="E17" i="12"/>
  <c r="D17" i="12"/>
  <c r="C17" i="12"/>
  <c r="B17" i="12"/>
  <c r="A17" i="12"/>
  <c r="L16" i="12"/>
  <c r="K16" i="12"/>
  <c r="H16" i="12"/>
  <c r="G16" i="12"/>
  <c r="F16" i="12"/>
  <c r="E16" i="12"/>
  <c r="D16" i="12"/>
  <c r="C16" i="12"/>
  <c r="B16" i="12"/>
  <c r="A16" i="12"/>
  <c r="L15" i="12"/>
  <c r="K15" i="12"/>
  <c r="H15" i="12"/>
  <c r="G15" i="12"/>
  <c r="F15" i="12"/>
  <c r="E15" i="12"/>
  <c r="D15" i="12"/>
  <c r="C15" i="12"/>
  <c r="B15" i="12"/>
  <c r="A15" i="12"/>
  <c r="L14" i="12"/>
  <c r="K14" i="12"/>
  <c r="H14" i="12"/>
  <c r="G14" i="12"/>
  <c r="F14" i="12"/>
  <c r="E14" i="12"/>
  <c r="D14" i="12"/>
  <c r="C14" i="12"/>
  <c r="B14" i="12"/>
  <c r="A14" i="12"/>
  <c r="L13" i="12"/>
  <c r="K13" i="12"/>
  <c r="H13" i="12"/>
  <c r="G13" i="12"/>
  <c r="F13" i="12"/>
  <c r="E13" i="12"/>
  <c r="D13" i="12"/>
  <c r="C13" i="12"/>
  <c r="B13" i="12"/>
  <c r="A13" i="12"/>
  <c r="L12" i="12"/>
  <c r="K12" i="12"/>
  <c r="H12" i="12"/>
  <c r="G12" i="12"/>
  <c r="F12" i="12"/>
  <c r="E12" i="12"/>
  <c r="D12" i="12"/>
  <c r="C12" i="12"/>
  <c r="B12" i="12"/>
  <c r="A12" i="12"/>
  <c r="L11" i="12"/>
  <c r="K11" i="12"/>
  <c r="H11" i="12"/>
  <c r="G11" i="12"/>
  <c r="F11" i="12"/>
  <c r="E11" i="12"/>
  <c r="D11" i="12"/>
  <c r="C11" i="12"/>
  <c r="B11" i="12"/>
  <c r="A11" i="12"/>
  <c r="L10" i="12"/>
  <c r="K10" i="12"/>
  <c r="H10" i="12"/>
  <c r="G10" i="12"/>
  <c r="F10" i="12"/>
  <c r="E10" i="12"/>
  <c r="D10" i="12"/>
  <c r="C10" i="12"/>
  <c r="B10" i="12"/>
  <c r="A10" i="12"/>
  <c r="L9" i="12"/>
  <c r="K9" i="12"/>
  <c r="H9" i="12"/>
  <c r="G9" i="12"/>
  <c r="F9" i="12"/>
  <c r="E9" i="12"/>
  <c r="D9" i="12"/>
  <c r="C9" i="12"/>
  <c r="B9" i="12"/>
  <c r="A9" i="12"/>
  <c r="L8" i="12"/>
  <c r="K8" i="12"/>
  <c r="H8" i="12"/>
  <c r="G8" i="12"/>
  <c r="F8" i="12"/>
  <c r="E8" i="12"/>
  <c r="D8" i="12"/>
  <c r="C8" i="12"/>
  <c r="B8" i="12"/>
  <c r="A8" i="12"/>
  <c r="K7" i="12"/>
  <c r="H7" i="12"/>
  <c r="G7" i="12"/>
  <c r="F7" i="12"/>
  <c r="E7" i="12"/>
  <c r="D7" i="12"/>
  <c r="C7" i="12"/>
  <c r="B7" i="12"/>
  <c r="A7" i="12"/>
  <c r="J2" i="12"/>
  <c r="D20" i="1" s="1"/>
  <c r="L110" i="11"/>
  <c r="K110" i="11"/>
  <c r="H110" i="11"/>
  <c r="G110" i="11"/>
  <c r="F110" i="11"/>
  <c r="E110" i="11"/>
  <c r="D110" i="11"/>
  <c r="C110" i="11"/>
  <c r="B110" i="11"/>
  <c r="A110" i="11"/>
  <c r="L109" i="11"/>
  <c r="K109" i="11"/>
  <c r="H109" i="11"/>
  <c r="G109" i="11"/>
  <c r="F109" i="11"/>
  <c r="E109" i="11"/>
  <c r="D109" i="11"/>
  <c r="C109" i="11"/>
  <c r="B109" i="11"/>
  <c r="A109" i="11"/>
  <c r="L108" i="11"/>
  <c r="K108" i="11"/>
  <c r="H108" i="11"/>
  <c r="G108" i="11"/>
  <c r="F108" i="11"/>
  <c r="E108" i="11"/>
  <c r="D108" i="11"/>
  <c r="C108" i="11"/>
  <c r="B108" i="11"/>
  <c r="A108" i="11"/>
  <c r="L107" i="11"/>
  <c r="K107" i="11"/>
  <c r="H107" i="11"/>
  <c r="G107" i="11"/>
  <c r="F107" i="11"/>
  <c r="E107" i="11"/>
  <c r="D107" i="11"/>
  <c r="C107" i="11"/>
  <c r="B107" i="11"/>
  <c r="A107" i="11"/>
  <c r="L106" i="11"/>
  <c r="K106" i="11"/>
  <c r="H106" i="11"/>
  <c r="G106" i="11"/>
  <c r="F106" i="11"/>
  <c r="E106" i="11"/>
  <c r="D106" i="11"/>
  <c r="C106" i="11"/>
  <c r="B106" i="11"/>
  <c r="A106" i="11"/>
  <c r="L105" i="11"/>
  <c r="K105" i="11"/>
  <c r="H105" i="11"/>
  <c r="G105" i="11"/>
  <c r="F105" i="11"/>
  <c r="E105" i="11"/>
  <c r="D105" i="11"/>
  <c r="C105" i="11"/>
  <c r="B105" i="11"/>
  <c r="A105" i="11"/>
  <c r="L104" i="11"/>
  <c r="K104" i="11"/>
  <c r="H104" i="11"/>
  <c r="G104" i="11"/>
  <c r="F104" i="11"/>
  <c r="E104" i="11"/>
  <c r="D104" i="11"/>
  <c r="C104" i="11"/>
  <c r="B104" i="11"/>
  <c r="A104" i="11"/>
  <c r="L103" i="11"/>
  <c r="K103" i="11"/>
  <c r="H103" i="11"/>
  <c r="G103" i="11"/>
  <c r="F103" i="11"/>
  <c r="E103" i="11"/>
  <c r="D103" i="11"/>
  <c r="C103" i="11"/>
  <c r="B103" i="11"/>
  <c r="A103" i="11"/>
  <c r="L102" i="11"/>
  <c r="K102" i="11"/>
  <c r="H102" i="11"/>
  <c r="G102" i="11"/>
  <c r="F102" i="11"/>
  <c r="E102" i="11"/>
  <c r="D102" i="11"/>
  <c r="C102" i="11"/>
  <c r="B102" i="11"/>
  <c r="A102" i="11"/>
  <c r="L101" i="11"/>
  <c r="K101" i="11"/>
  <c r="H101" i="11"/>
  <c r="G101" i="11"/>
  <c r="F101" i="11"/>
  <c r="E101" i="11"/>
  <c r="D101" i="11"/>
  <c r="C101" i="11"/>
  <c r="B101" i="11"/>
  <c r="A101" i="11"/>
  <c r="L100" i="11"/>
  <c r="K100" i="11"/>
  <c r="H100" i="11"/>
  <c r="G100" i="11"/>
  <c r="F100" i="11"/>
  <c r="E100" i="11"/>
  <c r="D100" i="11"/>
  <c r="C100" i="11"/>
  <c r="B100" i="11"/>
  <c r="A100" i="11"/>
  <c r="L99" i="11"/>
  <c r="K99" i="11"/>
  <c r="H99" i="11"/>
  <c r="G99" i="11"/>
  <c r="F99" i="11"/>
  <c r="E99" i="11"/>
  <c r="D99" i="11"/>
  <c r="C99" i="11"/>
  <c r="B99" i="11"/>
  <c r="A99" i="11"/>
  <c r="L98" i="11"/>
  <c r="K98" i="11"/>
  <c r="H98" i="11"/>
  <c r="G98" i="11"/>
  <c r="F98" i="11"/>
  <c r="E98" i="11"/>
  <c r="D98" i="11"/>
  <c r="C98" i="11"/>
  <c r="B98" i="11"/>
  <c r="A98" i="11"/>
  <c r="L97" i="11"/>
  <c r="K97" i="11"/>
  <c r="H97" i="11"/>
  <c r="G97" i="11"/>
  <c r="F97" i="11"/>
  <c r="E97" i="11"/>
  <c r="D97" i="11"/>
  <c r="C97" i="11"/>
  <c r="B97" i="11"/>
  <c r="A97" i="11"/>
  <c r="L96" i="11"/>
  <c r="K96" i="11"/>
  <c r="H96" i="11"/>
  <c r="G96" i="11"/>
  <c r="F96" i="11"/>
  <c r="E96" i="11"/>
  <c r="D96" i="11"/>
  <c r="C96" i="11"/>
  <c r="B96" i="11"/>
  <c r="A96" i="11"/>
  <c r="L95" i="11"/>
  <c r="K95" i="11"/>
  <c r="H95" i="11"/>
  <c r="G95" i="11"/>
  <c r="F95" i="11"/>
  <c r="E95" i="11"/>
  <c r="D95" i="11"/>
  <c r="C95" i="11"/>
  <c r="B95" i="11"/>
  <c r="A95" i="11"/>
  <c r="L94" i="11"/>
  <c r="K94" i="11"/>
  <c r="H94" i="11"/>
  <c r="G94" i="11"/>
  <c r="F94" i="11"/>
  <c r="E94" i="11"/>
  <c r="D94" i="11"/>
  <c r="C94" i="11"/>
  <c r="B94" i="11"/>
  <c r="A94" i="11"/>
  <c r="L93" i="11"/>
  <c r="K93" i="11"/>
  <c r="H93" i="11"/>
  <c r="G93" i="11"/>
  <c r="F93" i="11"/>
  <c r="E93" i="11"/>
  <c r="D93" i="11"/>
  <c r="C93" i="11"/>
  <c r="B93" i="11"/>
  <c r="A93" i="11"/>
  <c r="L92" i="11"/>
  <c r="K92" i="11"/>
  <c r="H92" i="11"/>
  <c r="G92" i="11"/>
  <c r="F92" i="11"/>
  <c r="E92" i="11"/>
  <c r="D92" i="11"/>
  <c r="C92" i="11"/>
  <c r="B92" i="11"/>
  <c r="A92" i="11"/>
  <c r="L91" i="11"/>
  <c r="K91" i="11"/>
  <c r="H91" i="11"/>
  <c r="G91" i="11"/>
  <c r="F91" i="11"/>
  <c r="E91" i="11"/>
  <c r="D91" i="11"/>
  <c r="C91" i="11"/>
  <c r="B91" i="11"/>
  <c r="A91" i="11"/>
  <c r="L90" i="11"/>
  <c r="K90" i="11"/>
  <c r="H90" i="11"/>
  <c r="G90" i="11"/>
  <c r="F90" i="11"/>
  <c r="E90" i="11"/>
  <c r="D90" i="11"/>
  <c r="C90" i="11"/>
  <c r="B90" i="11"/>
  <c r="A90" i="11"/>
  <c r="L89" i="11"/>
  <c r="K89" i="11"/>
  <c r="H89" i="11"/>
  <c r="G89" i="11"/>
  <c r="F89" i="11"/>
  <c r="E89" i="11"/>
  <c r="D89" i="11"/>
  <c r="C89" i="11"/>
  <c r="B89" i="11"/>
  <c r="A89" i="11"/>
  <c r="L88" i="11"/>
  <c r="K88" i="11"/>
  <c r="H88" i="11"/>
  <c r="G88" i="11"/>
  <c r="F88" i="11"/>
  <c r="E88" i="11"/>
  <c r="D88" i="11"/>
  <c r="C88" i="11"/>
  <c r="B88" i="11"/>
  <c r="A88" i="11"/>
  <c r="L87" i="11"/>
  <c r="K87" i="11"/>
  <c r="H87" i="11"/>
  <c r="G87" i="11"/>
  <c r="F87" i="11"/>
  <c r="E87" i="11"/>
  <c r="D87" i="11"/>
  <c r="C87" i="11"/>
  <c r="B87" i="11"/>
  <c r="A87" i="11"/>
  <c r="L86" i="11"/>
  <c r="K86" i="11"/>
  <c r="H86" i="11"/>
  <c r="G86" i="11"/>
  <c r="F86" i="11"/>
  <c r="E86" i="11"/>
  <c r="D86" i="11"/>
  <c r="C86" i="11"/>
  <c r="B86" i="11"/>
  <c r="A86" i="11"/>
  <c r="L85" i="11"/>
  <c r="K85" i="11"/>
  <c r="H85" i="11"/>
  <c r="G85" i="11"/>
  <c r="F85" i="11"/>
  <c r="E85" i="11"/>
  <c r="D85" i="11"/>
  <c r="C85" i="11"/>
  <c r="B85" i="11"/>
  <c r="A85" i="11"/>
  <c r="L84" i="11"/>
  <c r="K84" i="11"/>
  <c r="H84" i="11"/>
  <c r="G84" i="11"/>
  <c r="F84" i="11"/>
  <c r="E84" i="11"/>
  <c r="D84" i="11"/>
  <c r="C84" i="11"/>
  <c r="B84" i="11"/>
  <c r="A84" i="11"/>
  <c r="L83" i="11"/>
  <c r="K83" i="11"/>
  <c r="H83" i="11"/>
  <c r="G83" i="11"/>
  <c r="F83" i="11"/>
  <c r="E83" i="11"/>
  <c r="D83" i="11"/>
  <c r="C83" i="11"/>
  <c r="B83" i="11"/>
  <c r="A83" i="11"/>
  <c r="L82" i="11"/>
  <c r="K82" i="11"/>
  <c r="H82" i="11"/>
  <c r="G82" i="11"/>
  <c r="F82" i="11"/>
  <c r="E82" i="11"/>
  <c r="D82" i="11"/>
  <c r="C82" i="11"/>
  <c r="B82" i="11"/>
  <c r="A82" i="11"/>
  <c r="L81" i="11"/>
  <c r="K81" i="11"/>
  <c r="H81" i="11"/>
  <c r="G81" i="11"/>
  <c r="F81" i="11"/>
  <c r="E81" i="11"/>
  <c r="D81" i="11"/>
  <c r="C81" i="11"/>
  <c r="B81" i="11"/>
  <c r="A81" i="11"/>
  <c r="L80" i="11"/>
  <c r="K80" i="11"/>
  <c r="H80" i="11"/>
  <c r="G80" i="11"/>
  <c r="F80" i="11"/>
  <c r="E80" i="11"/>
  <c r="D80" i="11"/>
  <c r="C80" i="11"/>
  <c r="B80" i="11"/>
  <c r="A80" i="11"/>
  <c r="L79" i="11"/>
  <c r="K79" i="11"/>
  <c r="H79" i="11"/>
  <c r="G79" i="11"/>
  <c r="F79" i="11"/>
  <c r="E79" i="11"/>
  <c r="D79" i="11"/>
  <c r="C79" i="11"/>
  <c r="B79" i="11"/>
  <c r="A79" i="11"/>
  <c r="L78" i="11"/>
  <c r="K78" i="11"/>
  <c r="H78" i="11"/>
  <c r="G78" i="11"/>
  <c r="F78" i="11"/>
  <c r="E78" i="11"/>
  <c r="D78" i="11"/>
  <c r="C78" i="11"/>
  <c r="B78" i="11"/>
  <c r="A78" i="11"/>
  <c r="L77" i="11"/>
  <c r="K77" i="11"/>
  <c r="H77" i="11"/>
  <c r="G77" i="11"/>
  <c r="F77" i="11"/>
  <c r="E77" i="11"/>
  <c r="D77" i="11"/>
  <c r="C77" i="11"/>
  <c r="B77" i="11"/>
  <c r="A77" i="11"/>
  <c r="L76" i="11"/>
  <c r="K76" i="11"/>
  <c r="H76" i="11"/>
  <c r="G76" i="11"/>
  <c r="F76" i="11"/>
  <c r="E76" i="11"/>
  <c r="D76" i="11"/>
  <c r="C76" i="11"/>
  <c r="B76" i="11"/>
  <c r="A76" i="11"/>
  <c r="L75" i="11"/>
  <c r="K75" i="11"/>
  <c r="H75" i="11"/>
  <c r="G75" i="11"/>
  <c r="F75" i="11"/>
  <c r="E75" i="11"/>
  <c r="D75" i="11"/>
  <c r="C75" i="11"/>
  <c r="B75" i="11"/>
  <c r="A75" i="11"/>
  <c r="L74" i="11"/>
  <c r="K74" i="11"/>
  <c r="H74" i="11"/>
  <c r="G74" i="11"/>
  <c r="F74" i="11"/>
  <c r="E74" i="11"/>
  <c r="D74" i="11"/>
  <c r="C74" i="11"/>
  <c r="B74" i="11"/>
  <c r="A74" i="11"/>
  <c r="L73" i="11"/>
  <c r="K73" i="11"/>
  <c r="H73" i="11"/>
  <c r="G73" i="11"/>
  <c r="F73" i="11"/>
  <c r="E73" i="11"/>
  <c r="D73" i="11"/>
  <c r="C73" i="11"/>
  <c r="B73" i="11"/>
  <c r="A73" i="11"/>
  <c r="L72" i="11"/>
  <c r="K72" i="11"/>
  <c r="H72" i="11"/>
  <c r="G72" i="11"/>
  <c r="F72" i="11"/>
  <c r="E72" i="11"/>
  <c r="D72" i="11"/>
  <c r="C72" i="11"/>
  <c r="B72" i="11"/>
  <c r="A72" i="11"/>
  <c r="L71" i="11"/>
  <c r="K71" i="11"/>
  <c r="H71" i="11"/>
  <c r="G71" i="11"/>
  <c r="F71" i="11"/>
  <c r="E71" i="11"/>
  <c r="D71" i="11"/>
  <c r="C71" i="11"/>
  <c r="B71" i="11"/>
  <c r="A71" i="11"/>
  <c r="L70" i="11"/>
  <c r="K70" i="11"/>
  <c r="H70" i="11"/>
  <c r="G70" i="11"/>
  <c r="F70" i="11"/>
  <c r="E70" i="11"/>
  <c r="D70" i="11"/>
  <c r="C70" i="11"/>
  <c r="B70" i="11"/>
  <c r="A70" i="11"/>
  <c r="L69" i="11"/>
  <c r="K69" i="11"/>
  <c r="H69" i="11"/>
  <c r="G69" i="11"/>
  <c r="F69" i="11"/>
  <c r="E69" i="11"/>
  <c r="D69" i="11"/>
  <c r="C69" i="11"/>
  <c r="B69" i="11"/>
  <c r="A69" i="11"/>
  <c r="L68" i="11"/>
  <c r="K68" i="11"/>
  <c r="H68" i="11"/>
  <c r="G68" i="11"/>
  <c r="F68" i="11"/>
  <c r="E68" i="11"/>
  <c r="D68" i="11"/>
  <c r="C68" i="11"/>
  <c r="B68" i="11"/>
  <c r="A68" i="11"/>
  <c r="L67" i="11"/>
  <c r="K67" i="11"/>
  <c r="H67" i="11"/>
  <c r="G67" i="11"/>
  <c r="F67" i="11"/>
  <c r="E67" i="11"/>
  <c r="D67" i="11"/>
  <c r="C67" i="11"/>
  <c r="B67" i="11"/>
  <c r="A67" i="11"/>
  <c r="L66" i="11"/>
  <c r="K66" i="11"/>
  <c r="H66" i="11"/>
  <c r="G66" i="11"/>
  <c r="F66" i="11"/>
  <c r="E66" i="11"/>
  <c r="D66" i="11"/>
  <c r="C66" i="11"/>
  <c r="B66" i="11"/>
  <c r="A66" i="11"/>
  <c r="L65" i="11"/>
  <c r="K65" i="11"/>
  <c r="H65" i="11"/>
  <c r="G65" i="11"/>
  <c r="F65" i="11"/>
  <c r="E65" i="11"/>
  <c r="D65" i="11"/>
  <c r="C65" i="11"/>
  <c r="B65" i="11"/>
  <c r="A65" i="11"/>
  <c r="L64" i="11"/>
  <c r="K64" i="11"/>
  <c r="H64" i="11"/>
  <c r="G64" i="11"/>
  <c r="F64" i="11"/>
  <c r="E64" i="11"/>
  <c r="D64" i="11"/>
  <c r="C64" i="11"/>
  <c r="B64" i="11"/>
  <c r="A64" i="11"/>
  <c r="L63" i="11"/>
  <c r="K63" i="11"/>
  <c r="H63" i="11"/>
  <c r="G63" i="11"/>
  <c r="F63" i="11"/>
  <c r="E63" i="11"/>
  <c r="D63" i="11"/>
  <c r="C63" i="11"/>
  <c r="B63" i="11"/>
  <c r="A63" i="11"/>
  <c r="L62" i="11"/>
  <c r="K62" i="11"/>
  <c r="H62" i="11"/>
  <c r="G62" i="11"/>
  <c r="F62" i="11"/>
  <c r="E62" i="11"/>
  <c r="D62" i="11"/>
  <c r="C62" i="11"/>
  <c r="B62" i="11"/>
  <c r="A62" i="11"/>
  <c r="L61" i="11"/>
  <c r="K61" i="11"/>
  <c r="H61" i="11"/>
  <c r="G61" i="11"/>
  <c r="F61" i="11"/>
  <c r="E61" i="11"/>
  <c r="D61" i="11"/>
  <c r="C61" i="11"/>
  <c r="B61" i="11"/>
  <c r="A61" i="11"/>
  <c r="L60" i="11"/>
  <c r="K60" i="11"/>
  <c r="H60" i="11"/>
  <c r="G60" i="11"/>
  <c r="F60" i="11"/>
  <c r="E60" i="11"/>
  <c r="D60" i="11"/>
  <c r="C60" i="11"/>
  <c r="B60" i="11"/>
  <c r="A60" i="11"/>
  <c r="L59" i="11"/>
  <c r="K59" i="11"/>
  <c r="H59" i="11"/>
  <c r="G59" i="11"/>
  <c r="F59" i="11"/>
  <c r="E59" i="11"/>
  <c r="D59" i="11"/>
  <c r="C59" i="11"/>
  <c r="B59" i="11"/>
  <c r="A59" i="11"/>
  <c r="L58" i="11"/>
  <c r="K58" i="11"/>
  <c r="H58" i="11"/>
  <c r="G58" i="11"/>
  <c r="F58" i="11"/>
  <c r="E58" i="11"/>
  <c r="D58" i="11"/>
  <c r="C58" i="11"/>
  <c r="B58" i="11"/>
  <c r="A58" i="11"/>
  <c r="L57" i="11"/>
  <c r="K57" i="11"/>
  <c r="H57" i="11"/>
  <c r="G57" i="11"/>
  <c r="F57" i="11"/>
  <c r="E57" i="11"/>
  <c r="D57" i="11"/>
  <c r="C57" i="11"/>
  <c r="B57" i="11"/>
  <c r="A57" i="11"/>
  <c r="L56" i="11"/>
  <c r="K56" i="11"/>
  <c r="H56" i="11"/>
  <c r="G56" i="11"/>
  <c r="F56" i="11"/>
  <c r="E56" i="11"/>
  <c r="D56" i="11"/>
  <c r="C56" i="11"/>
  <c r="B56" i="11"/>
  <c r="A56" i="11"/>
  <c r="L55" i="11"/>
  <c r="K55" i="11"/>
  <c r="H55" i="11"/>
  <c r="G55" i="11"/>
  <c r="F55" i="11"/>
  <c r="E55" i="11"/>
  <c r="D55" i="11"/>
  <c r="C55" i="11"/>
  <c r="B55" i="11"/>
  <c r="A55" i="11"/>
  <c r="L54" i="11"/>
  <c r="K54" i="11"/>
  <c r="H54" i="11"/>
  <c r="G54" i="11"/>
  <c r="F54" i="11"/>
  <c r="E54" i="11"/>
  <c r="D54" i="11"/>
  <c r="C54" i="11"/>
  <c r="B54" i="11"/>
  <c r="A54" i="11"/>
  <c r="L53" i="11"/>
  <c r="K53" i="11"/>
  <c r="H53" i="11"/>
  <c r="G53" i="11"/>
  <c r="F53" i="11"/>
  <c r="E53" i="11"/>
  <c r="D53" i="11"/>
  <c r="C53" i="11"/>
  <c r="B53" i="11"/>
  <c r="A53" i="11"/>
  <c r="L52" i="11"/>
  <c r="K52" i="11"/>
  <c r="H52" i="11"/>
  <c r="G52" i="11"/>
  <c r="F52" i="11"/>
  <c r="E52" i="11"/>
  <c r="D52" i="11"/>
  <c r="C52" i="11"/>
  <c r="B52" i="11"/>
  <c r="A52" i="11"/>
  <c r="L51" i="11"/>
  <c r="K51" i="11"/>
  <c r="H51" i="11"/>
  <c r="G51" i="11"/>
  <c r="F51" i="11"/>
  <c r="E51" i="11"/>
  <c r="D51" i="11"/>
  <c r="C51" i="11"/>
  <c r="B51" i="11"/>
  <c r="A51" i="11"/>
  <c r="L50" i="11"/>
  <c r="K50" i="11"/>
  <c r="H50" i="11"/>
  <c r="G50" i="11"/>
  <c r="F50" i="11"/>
  <c r="E50" i="11"/>
  <c r="D50" i="11"/>
  <c r="C50" i="11"/>
  <c r="B50" i="11"/>
  <c r="A50" i="11"/>
  <c r="L49" i="11"/>
  <c r="K49" i="11"/>
  <c r="H49" i="11"/>
  <c r="G49" i="11"/>
  <c r="F49" i="11"/>
  <c r="E49" i="11"/>
  <c r="D49" i="11"/>
  <c r="C49" i="11"/>
  <c r="B49" i="11"/>
  <c r="A49" i="11"/>
  <c r="L48" i="11"/>
  <c r="K48" i="11"/>
  <c r="H48" i="11"/>
  <c r="G48" i="11"/>
  <c r="F48" i="11"/>
  <c r="E48" i="11"/>
  <c r="D48" i="11"/>
  <c r="C48" i="11"/>
  <c r="B48" i="11"/>
  <c r="A48" i="11"/>
  <c r="L47" i="11"/>
  <c r="K47" i="11"/>
  <c r="H47" i="11"/>
  <c r="G47" i="11"/>
  <c r="F47" i="11"/>
  <c r="E47" i="11"/>
  <c r="D47" i="11"/>
  <c r="C47" i="11"/>
  <c r="B47" i="11"/>
  <c r="A47" i="11"/>
  <c r="L46" i="11"/>
  <c r="K46" i="11"/>
  <c r="H46" i="11"/>
  <c r="G46" i="11"/>
  <c r="F46" i="11"/>
  <c r="E46" i="11"/>
  <c r="D46" i="11"/>
  <c r="C46" i="11"/>
  <c r="B46" i="11"/>
  <c r="A46" i="11"/>
  <c r="L45" i="11"/>
  <c r="K45" i="11"/>
  <c r="H45" i="11"/>
  <c r="G45" i="11"/>
  <c r="F45" i="11"/>
  <c r="E45" i="11"/>
  <c r="D45" i="11"/>
  <c r="C45" i="11"/>
  <c r="B45" i="11"/>
  <c r="A45" i="11"/>
  <c r="L44" i="11"/>
  <c r="K44" i="11"/>
  <c r="H44" i="11"/>
  <c r="G44" i="11"/>
  <c r="F44" i="11"/>
  <c r="E44" i="11"/>
  <c r="D44" i="11"/>
  <c r="C44" i="11"/>
  <c r="B44" i="11"/>
  <c r="A44" i="11"/>
  <c r="L43" i="11"/>
  <c r="K43" i="11"/>
  <c r="H43" i="11"/>
  <c r="G43" i="11"/>
  <c r="F43" i="11"/>
  <c r="E43" i="11"/>
  <c r="D43" i="11"/>
  <c r="C43" i="11"/>
  <c r="B43" i="11"/>
  <c r="A43" i="11"/>
  <c r="L42" i="11"/>
  <c r="K42" i="11"/>
  <c r="H42" i="11"/>
  <c r="G42" i="11"/>
  <c r="F42" i="11"/>
  <c r="E42" i="11"/>
  <c r="D42" i="11"/>
  <c r="C42" i="11"/>
  <c r="B42" i="11"/>
  <c r="A42" i="11"/>
  <c r="L41" i="11"/>
  <c r="K41" i="11"/>
  <c r="H41" i="11"/>
  <c r="G41" i="11"/>
  <c r="F41" i="11"/>
  <c r="E41" i="11"/>
  <c r="D41" i="11"/>
  <c r="C41" i="11"/>
  <c r="B41" i="11"/>
  <c r="A41" i="11"/>
  <c r="L40" i="11"/>
  <c r="K40" i="11"/>
  <c r="H40" i="11"/>
  <c r="G40" i="11"/>
  <c r="F40" i="11"/>
  <c r="E40" i="11"/>
  <c r="D40" i="11"/>
  <c r="C40" i="11"/>
  <c r="B40" i="11"/>
  <c r="A40" i="11"/>
  <c r="L39" i="11"/>
  <c r="K39" i="11"/>
  <c r="H39" i="11"/>
  <c r="G39" i="11"/>
  <c r="F39" i="11"/>
  <c r="E39" i="11"/>
  <c r="D39" i="11"/>
  <c r="C39" i="11"/>
  <c r="B39" i="11"/>
  <c r="A39" i="11"/>
  <c r="L38" i="11"/>
  <c r="K38" i="11"/>
  <c r="H38" i="11"/>
  <c r="G38" i="11"/>
  <c r="F38" i="11"/>
  <c r="E38" i="11"/>
  <c r="D38" i="11"/>
  <c r="C38" i="11"/>
  <c r="B38" i="11"/>
  <c r="A38" i="11"/>
  <c r="L37" i="11"/>
  <c r="K37" i="11"/>
  <c r="H37" i="11"/>
  <c r="G37" i="11"/>
  <c r="F37" i="11"/>
  <c r="E37" i="11"/>
  <c r="D37" i="11"/>
  <c r="C37" i="11"/>
  <c r="B37" i="11"/>
  <c r="A37" i="11"/>
  <c r="L36" i="11"/>
  <c r="K36" i="11"/>
  <c r="H36" i="11"/>
  <c r="G36" i="11"/>
  <c r="F36" i="11"/>
  <c r="E36" i="11"/>
  <c r="D36" i="11"/>
  <c r="C36" i="11"/>
  <c r="B36" i="11"/>
  <c r="A36" i="11"/>
  <c r="L35" i="11"/>
  <c r="K35" i="11"/>
  <c r="H35" i="11"/>
  <c r="G35" i="11"/>
  <c r="F35" i="11"/>
  <c r="E35" i="11"/>
  <c r="D35" i="11"/>
  <c r="C35" i="11"/>
  <c r="B35" i="11"/>
  <c r="A35" i="11"/>
  <c r="L34" i="11"/>
  <c r="K34" i="11"/>
  <c r="H34" i="11"/>
  <c r="G34" i="11"/>
  <c r="F34" i="11"/>
  <c r="E34" i="11"/>
  <c r="D34" i="11"/>
  <c r="C34" i="11"/>
  <c r="B34" i="11"/>
  <c r="A34" i="11"/>
  <c r="L33" i="11"/>
  <c r="K33" i="11"/>
  <c r="H33" i="11"/>
  <c r="G33" i="11"/>
  <c r="F33" i="11"/>
  <c r="E33" i="11"/>
  <c r="D33" i="11"/>
  <c r="C33" i="11"/>
  <c r="B33" i="11"/>
  <c r="A33" i="11"/>
  <c r="L32" i="11"/>
  <c r="K32" i="11"/>
  <c r="H32" i="11"/>
  <c r="G32" i="11"/>
  <c r="F32" i="11"/>
  <c r="E32" i="11"/>
  <c r="D32" i="11"/>
  <c r="C32" i="11"/>
  <c r="B32" i="11"/>
  <c r="A32" i="11"/>
  <c r="L31" i="11"/>
  <c r="K31" i="11"/>
  <c r="H31" i="11"/>
  <c r="G31" i="11"/>
  <c r="F31" i="11"/>
  <c r="E31" i="11"/>
  <c r="D31" i="11"/>
  <c r="C31" i="11"/>
  <c r="B31" i="11"/>
  <c r="A31" i="11"/>
  <c r="L30" i="11"/>
  <c r="K30" i="11"/>
  <c r="H30" i="11"/>
  <c r="G30" i="11"/>
  <c r="F30" i="11"/>
  <c r="E30" i="11"/>
  <c r="D30" i="11"/>
  <c r="C30" i="11"/>
  <c r="B30" i="11"/>
  <c r="A30" i="11"/>
  <c r="L29" i="11"/>
  <c r="K29" i="11"/>
  <c r="H29" i="11"/>
  <c r="G29" i="11"/>
  <c r="F29" i="11"/>
  <c r="E29" i="11"/>
  <c r="D29" i="11"/>
  <c r="C29" i="11"/>
  <c r="B29" i="11"/>
  <c r="A29" i="11"/>
  <c r="L28" i="11"/>
  <c r="K28" i="11"/>
  <c r="H28" i="11"/>
  <c r="G28" i="11"/>
  <c r="F28" i="11"/>
  <c r="E28" i="11"/>
  <c r="D28" i="11"/>
  <c r="C28" i="11"/>
  <c r="B28" i="11"/>
  <c r="A28" i="11"/>
  <c r="L27" i="11"/>
  <c r="K27" i="11"/>
  <c r="H27" i="11"/>
  <c r="G27" i="11"/>
  <c r="F27" i="11"/>
  <c r="E27" i="11"/>
  <c r="D27" i="11"/>
  <c r="C27" i="11"/>
  <c r="B27" i="11"/>
  <c r="A27" i="11"/>
  <c r="L26" i="11"/>
  <c r="K26" i="11"/>
  <c r="H26" i="11"/>
  <c r="G26" i="11"/>
  <c r="F26" i="11"/>
  <c r="E26" i="11"/>
  <c r="D26" i="11"/>
  <c r="C26" i="11"/>
  <c r="B26" i="11"/>
  <c r="A26" i="11"/>
  <c r="L25" i="11"/>
  <c r="K25" i="11"/>
  <c r="H25" i="11"/>
  <c r="G25" i="11"/>
  <c r="F25" i="11"/>
  <c r="E25" i="11"/>
  <c r="D25" i="11"/>
  <c r="C25" i="11"/>
  <c r="B25" i="11"/>
  <c r="A25" i="11"/>
  <c r="L24" i="11"/>
  <c r="K24" i="11"/>
  <c r="H24" i="11"/>
  <c r="G24" i="11"/>
  <c r="F24" i="11"/>
  <c r="E24" i="11"/>
  <c r="D24" i="11"/>
  <c r="C24" i="11"/>
  <c r="B24" i="11"/>
  <c r="A24" i="11"/>
  <c r="L23" i="11"/>
  <c r="K23" i="11"/>
  <c r="H23" i="11"/>
  <c r="G23" i="11"/>
  <c r="F23" i="11"/>
  <c r="E23" i="11"/>
  <c r="D23" i="11"/>
  <c r="C23" i="11"/>
  <c r="B23" i="11"/>
  <c r="A23" i="11"/>
  <c r="L22" i="11"/>
  <c r="K22" i="11"/>
  <c r="H22" i="11"/>
  <c r="G22" i="11"/>
  <c r="F22" i="11"/>
  <c r="E22" i="11"/>
  <c r="D22" i="11"/>
  <c r="C22" i="11"/>
  <c r="B22" i="11"/>
  <c r="A22" i="11"/>
  <c r="L21" i="11"/>
  <c r="K21" i="11"/>
  <c r="H21" i="11"/>
  <c r="G21" i="11"/>
  <c r="F21" i="11"/>
  <c r="E21" i="11"/>
  <c r="D21" i="11"/>
  <c r="C21" i="11"/>
  <c r="B21" i="11"/>
  <c r="A21" i="11"/>
  <c r="L20" i="11"/>
  <c r="K20" i="11"/>
  <c r="H20" i="11"/>
  <c r="G20" i="11"/>
  <c r="F20" i="11"/>
  <c r="E20" i="11"/>
  <c r="D20" i="11"/>
  <c r="C20" i="11"/>
  <c r="B20" i="11"/>
  <c r="A20" i="11"/>
  <c r="L19" i="11"/>
  <c r="K19" i="11"/>
  <c r="H19" i="11"/>
  <c r="G19" i="11"/>
  <c r="F19" i="11"/>
  <c r="E19" i="11"/>
  <c r="D19" i="11"/>
  <c r="C19" i="11"/>
  <c r="B19" i="11"/>
  <c r="A19" i="11"/>
  <c r="L18" i="11"/>
  <c r="K18" i="11"/>
  <c r="H18" i="11"/>
  <c r="G18" i="11"/>
  <c r="F18" i="11"/>
  <c r="E18" i="11"/>
  <c r="D18" i="11"/>
  <c r="C18" i="11"/>
  <c r="B18" i="11"/>
  <c r="A18" i="11"/>
  <c r="L17" i="11"/>
  <c r="K17" i="11"/>
  <c r="H17" i="11"/>
  <c r="G17" i="11"/>
  <c r="F17" i="11"/>
  <c r="E17" i="11"/>
  <c r="D17" i="11"/>
  <c r="C17" i="11"/>
  <c r="B17" i="11"/>
  <c r="A17" i="11"/>
  <c r="L16" i="11"/>
  <c r="K16" i="11"/>
  <c r="H16" i="11"/>
  <c r="G16" i="11"/>
  <c r="F16" i="11"/>
  <c r="E16" i="11"/>
  <c r="D16" i="11"/>
  <c r="C16" i="11"/>
  <c r="B16" i="11"/>
  <c r="A16" i="11"/>
  <c r="L15" i="11"/>
  <c r="K15" i="11"/>
  <c r="H15" i="11"/>
  <c r="G15" i="11"/>
  <c r="F15" i="11"/>
  <c r="E15" i="11"/>
  <c r="D15" i="11"/>
  <c r="C15" i="11"/>
  <c r="B15" i="11"/>
  <c r="A15" i="11"/>
  <c r="L14" i="11"/>
  <c r="K14" i="11"/>
  <c r="H14" i="11"/>
  <c r="G14" i="11"/>
  <c r="F14" i="11"/>
  <c r="E14" i="11"/>
  <c r="D14" i="11"/>
  <c r="C14" i="11"/>
  <c r="B14" i="11"/>
  <c r="A14" i="11"/>
  <c r="L13" i="11"/>
  <c r="K13" i="11"/>
  <c r="H13" i="11"/>
  <c r="G13" i="11"/>
  <c r="F13" i="11"/>
  <c r="E13" i="11"/>
  <c r="D13" i="11"/>
  <c r="C13" i="11"/>
  <c r="B13" i="11"/>
  <c r="A13" i="11"/>
  <c r="L12" i="11"/>
  <c r="K12" i="11"/>
  <c r="H12" i="11"/>
  <c r="G12" i="11"/>
  <c r="F12" i="11"/>
  <c r="E12" i="11"/>
  <c r="D12" i="11"/>
  <c r="C12" i="11"/>
  <c r="B12" i="11"/>
  <c r="A12" i="11"/>
  <c r="L11" i="11"/>
  <c r="K11" i="11"/>
  <c r="H11" i="11"/>
  <c r="G11" i="11"/>
  <c r="F11" i="11"/>
  <c r="E11" i="11"/>
  <c r="D11" i="11"/>
  <c r="C11" i="11"/>
  <c r="B11" i="11"/>
  <c r="A11" i="11"/>
  <c r="L10" i="11"/>
  <c r="K10" i="11"/>
  <c r="H10" i="11"/>
  <c r="G10" i="11"/>
  <c r="F10" i="11"/>
  <c r="E10" i="11"/>
  <c r="D10" i="11"/>
  <c r="C10" i="11"/>
  <c r="B10" i="11"/>
  <c r="A10" i="11"/>
  <c r="L9" i="11"/>
  <c r="K9" i="11"/>
  <c r="H9" i="11"/>
  <c r="G9" i="11"/>
  <c r="F9" i="11"/>
  <c r="E9" i="11"/>
  <c r="D9" i="11"/>
  <c r="C9" i="11"/>
  <c r="B9" i="11"/>
  <c r="A9" i="11"/>
  <c r="L8" i="11"/>
  <c r="K8" i="11"/>
  <c r="H8" i="11"/>
  <c r="G8" i="11"/>
  <c r="F8" i="11"/>
  <c r="E8" i="11"/>
  <c r="D8" i="11"/>
  <c r="C8" i="11"/>
  <c r="B8" i="11"/>
  <c r="A8" i="11"/>
  <c r="K7" i="11"/>
  <c r="H7" i="11"/>
  <c r="G7" i="11"/>
  <c r="F7" i="11"/>
  <c r="E7" i="11"/>
  <c r="D7" i="11"/>
  <c r="C7" i="11"/>
  <c r="B7" i="11"/>
  <c r="A7" i="11"/>
  <c r="J2" i="11"/>
  <c r="D19" i="1" s="1"/>
  <c r="L110" i="10"/>
  <c r="K110" i="10"/>
  <c r="H110" i="10"/>
  <c r="G110" i="10"/>
  <c r="F110" i="10"/>
  <c r="E110" i="10"/>
  <c r="D110" i="10"/>
  <c r="C110" i="10"/>
  <c r="B110" i="10"/>
  <c r="A110" i="10"/>
  <c r="L109" i="10"/>
  <c r="K109" i="10"/>
  <c r="H109" i="10"/>
  <c r="G109" i="10"/>
  <c r="F109" i="10"/>
  <c r="E109" i="10"/>
  <c r="D109" i="10"/>
  <c r="C109" i="10"/>
  <c r="B109" i="10"/>
  <c r="A109" i="10"/>
  <c r="L108" i="10"/>
  <c r="K108" i="10"/>
  <c r="H108" i="10"/>
  <c r="G108" i="10"/>
  <c r="F108" i="10"/>
  <c r="E108" i="10"/>
  <c r="D108" i="10"/>
  <c r="C108" i="10"/>
  <c r="B108" i="10"/>
  <c r="A108" i="10"/>
  <c r="L107" i="10"/>
  <c r="K107" i="10"/>
  <c r="H107" i="10"/>
  <c r="G107" i="10"/>
  <c r="F107" i="10"/>
  <c r="E107" i="10"/>
  <c r="D107" i="10"/>
  <c r="C107" i="10"/>
  <c r="B107" i="10"/>
  <c r="A107" i="10"/>
  <c r="L106" i="10"/>
  <c r="K106" i="10"/>
  <c r="H106" i="10"/>
  <c r="G106" i="10"/>
  <c r="F106" i="10"/>
  <c r="E106" i="10"/>
  <c r="D106" i="10"/>
  <c r="C106" i="10"/>
  <c r="B106" i="10"/>
  <c r="A106" i="10"/>
  <c r="L105" i="10"/>
  <c r="K105" i="10"/>
  <c r="H105" i="10"/>
  <c r="G105" i="10"/>
  <c r="F105" i="10"/>
  <c r="E105" i="10"/>
  <c r="D105" i="10"/>
  <c r="C105" i="10"/>
  <c r="B105" i="10"/>
  <c r="A105" i="10"/>
  <c r="L104" i="10"/>
  <c r="K104" i="10"/>
  <c r="H104" i="10"/>
  <c r="G104" i="10"/>
  <c r="F104" i="10"/>
  <c r="E104" i="10"/>
  <c r="D104" i="10"/>
  <c r="C104" i="10"/>
  <c r="B104" i="10"/>
  <c r="A104" i="10"/>
  <c r="L103" i="10"/>
  <c r="K103" i="10"/>
  <c r="H103" i="10"/>
  <c r="G103" i="10"/>
  <c r="F103" i="10"/>
  <c r="E103" i="10"/>
  <c r="D103" i="10"/>
  <c r="C103" i="10"/>
  <c r="B103" i="10"/>
  <c r="A103" i="10"/>
  <c r="L102" i="10"/>
  <c r="K102" i="10"/>
  <c r="H102" i="10"/>
  <c r="G102" i="10"/>
  <c r="F102" i="10"/>
  <c r="E102" i="10"/>
  <c r="D102" i="10"/>
  <c r="C102" i="10"/>
  <c r="B102" i="10"/>
  <c r="A102" i="10"/>
  <c r="L101" i="10"/>
  <c r="K101" i="10"/>
  <c r="H101" i="10"/>
  <c r="G101" i="10"/>
  <c r="F101" i="10"/>
  <c r="E101" i="10"/>
  <c r="D101" i="10"/>
  <c r="C101" i="10"/>
  <c r="B101" i="10"/>
  <c r="A101" i="10"/>
  <c r="L100" i="10"/>
  <c r="K100" i="10"/>
  <c r="H100" i="10"/>
  <c r="G100" i="10"/>
  <c r="F100" i="10"/>
  <c r="E100" i="10"/>
  <c r="D100" i="10"/>
  <c r="C100" i="10"/>
  <c r="B100" i="10"/>
  <c r="A100" i="10"/>
  <c r="L99" i="10"/>
  <c r="K99" i="10"/>
  <c r="H99" i="10"/>
  <c r="G99" i="10"/>
  <c r="F99" i="10"/>
  <c r="E99" i="10"/>
  <c r="D99" i="10"/>
  <c r="C99" i="10"/>
  <c r="B99" i="10"/>
  <c r="A99" i="10"/>
  <c r="L98" i="10"/>
  <c r="K98" i="10"/>
  <c r="H98" i="10"/>
  <c r="G98" i="10"/>
  <c r="F98" i="10"/>
  <c r="E98" i="10"/>
  <c r="D98" i="10"/>
  <c r="C98" i="10"/>
  <c r="B98" i="10"/>
  <c r="A98" i="10"/>
  <c r="L97" i="10"/>
  <c r="K97" i="10"/>
  <c r="H97" i="10"/>
  <c r="G97" i="10"/>
  <c r="F97" i="10"/>
  <c r="E97" i="10"/>
  <c r="D97" i="10"/>
  <c r="C97" i="10"/>
  <c r="B97" i="10"/>
  <c r="A97" i="10"/>
  <c r="L96" i="10"/>
  <c r="K96" i="10"/>
  <c r="H96" i="10"/>
  <c r="G96" i="10"/>
  <c r="F96" i="10"/>
  <c r="E96" i="10"/>
  <c r="D96" i="10"/>
  <c r="C96" i="10"/>
  <c r="B96" i="10"/>
  <c r="A96" i="10"/>
  <c r="L95" i="10"/>
  <c r="K95" i="10"/>
  <c r="H95" i="10"/>
  <c r="G95" i="10"/>
  <c r="F95" i="10"/>
  <c r="E95" i="10"/>
  <c r="D95" i="10"/>
  <c r="C95" i="10"/>
  <c r="B95" i="10"/>
  <c r="A95" i="10"/>
  <c r="L94" i="10"/>
  <c r="K94" i="10"/>
  <c r="H94" i="10"/>
  <c r="G94" i="10"/>
  <c r="F94" i="10"/>
  <c r="E94" i="10"/>
  <c r="D94" i="10"/>
  <c r="C94" i="10"/>
  <c r="B94" i="10"/>
  <c r="A94" i="10"/>
  <c r="L93" i="10"/>
  <c r="K93" i="10"/>
  <c r="H93" i="10"/>
  <c r="G93" i="10"/>
  <c r="F93" i="10"/>
  <c r="E93" i="10"/>
  <c r="D93" i="10"/>
  <c r="C93" i="10"/>
  <c r="B93" i="10"/>
  <c r="A93" i="10"/>
  <c r="L92" i="10"/>
  <c r="K92" i="10"/>
  <c r="H92" i="10"/>
  <c r="G92" i="10"/>
  <c r="F92" i="10"/>
  <c r="E92" i="10"/>
  <c r="D92" i="10"/>
  <c r="C92" i="10"/>
  <c r="B92" i="10"/>
  <c r="A92" i="10"/>
  <c r="L91" i="10"/>
  <c r="K91" i="10"/>
  <c r="H91" i="10"/>
  <c r="G91" i="10"/>
  <c r="F91" i="10"/>
  <c r="E91" i="10"/>
  <c r="D91" i="10"/>
  <c r="C91" i="10"/>
  <c r="B91" i="10"/>
  <c r="A91" i="10"/>
  <c r="L90" i="10"/>
  <c r="K90" i="10"/>
  <c r="H90" i="10"/>
  <c r="G90" i="10"/>
  <c r="F90" i="10"/>
  <c r="E90" i="10"/>
  <c r="D90" i="10"/>
  <c r="C90" i="10"/>
  <c r="B90" i="10"/>
  <c r="A90" i="10"/>
  <c r="L89" i="10"/>
  <c r="K89" i="10"/>
  <c r="H89" i="10"/>
  <c r="G89" i="10"/>
  <c r="F89" i="10"/>
  <c r="E89" i="10"/>
  <c r="D89" i="10"/>
  <c r="C89" i="10"/>
  <c r="B89" i="10"/>
  <c r="A89" i="10"/>
  <c r="L88" i="10"/>
  <c r="K88" i="10"/>
  <c r="H88" i="10"/>
  <c r="G88" i="10"/>
  <c r="F88" i="10"/>
  <c r="E88" i="10"/>
  <c r="D88" i="10"/>
  <c r="C88" i="10"/>
  <c r="B88" i="10"/>
  <c r="A88" i="10"/>
  <c r="L87" i="10"/>
  <c r="K87" i="10"/>
  <c r="H87" i="10"/>
  <c r="G87" i="10"/>
  <c r="F87" i="10"/>
  <c r="E87" i="10"/>
  <c r="D87" i="10"/>
  <c r="C87" i="10"/>
  <c r="B87" i="10"/>
  <c r="A87" i="10"/>
  <c r="L86" i="10"/>
  <c r="K86" i="10"/>
  <c r="H86" i="10"/>
  <c r="G86" i="10"/>
  <c r="F86" i="10"/>
  <c r="E86" i="10"/>
  <c r="D86" i="10"/>
  <c r="C86" i="10"/>
  <c r="B86" i="10"/>
  <c r="A86" i="10"/>
  <c r="L85" i="10"/>
  <c r="K85" i="10"/>
  <c r="H85" i="10"/>
  <c r="G85" i="10"/>
  <c r="F85" i="10"/>
  <c r="E85" i="10"/>
  <c r="D85" i="10"/>
  <c r="C85" i="10"/>
  <c r="B85" i="10"/>
  <c r="A85" i="10"/>
  <c r="L84" i="10"/>
  <c r="K84" i="10"/>
  <c r="H84" i="10"/>
  <c r="G84" i="10"/>
  <c r="F84" i="10"/>
  <c r="E84" i="10"/>
  <c r="D84" i="10"/>
  <c r="C84" i="10"/>
  <c r="B84" i="10"/>
  <c r="A84" i="10"/>
  <c r="L83" i="10"/>
  <c r="K83" i="10"/>
  <c r="H83" i="10"/>
  <c r="G83" i="10"/>
  <c r="F83" i="10"/>
  <c r="E83" i="10"/>
  <c r="D83" i="10"/>
  <c r="C83" i="10"/>
  <c r="B83" i="10"/>
  <c r="A83" i="10"/>
  <c r="L82" i="10"/>
  <c r="K82" i="10"/>
  <c r="H82" i="10"/>
  <c r="G82" i="10"/>
  <c r="F82" i="10"/>
  <c r="E82" i="10"/>
  <c r="D82" i="10"/>
  <c r="C82" i="10"/>
  <c r="B82" i="10"/>
  <c r="A82" i="10"/>
  <c r="L81" i="10"/>
  <c r="K81" i="10"/>
  <c r="H81" i="10"/>
  <c r="G81" i="10"/>
  <c r="F81" i="10"/>
  <c r="E81" i="10"/>
  <c r="D81" i="10"/>
  <c r="C81" i="10"/>
  <c r="B81" i="10"/>
  <c r="A81" i="10"/>
  <c r="L80" i="10"/>
  <c r="K80" i="10"/>
  <c r="H80" i="10"/>
  <c r="G80" i="10"/>
  <c r="F80" i="10"/>
  <c r="E80" i="10"/>
  <c r="D80" i="10"/>
  <c r="C80" i="10"/>
  <c r="B80" i="10"/>
  <c r="A80" i="10"/>
  <c r="L79" i="10"/>
  <c r="K79" i="10"/>
  <c r="H79" i="10"/>
  <c r="G79" i="10"/>
  <c r="F79" i="10"/>
  <c r="E79" i="10"/>
  <c r="D79" i="10"/>
  <c r="C79" i="10"/>
  <c r="B79" i="10"/>
  <c r="A79" i="10"/>
  <c r="L78" i="10"/>
  <c r="K78" i="10"/>
  <c r="H78" i="10"/>
  <c r="G78" i="10"/>
  <c r="F78" i="10"/>
  <c r="E78" i="10"/>
  <c r="D78" i="10"/>
  <c r="C78" i="10"/>
  <c r="B78" i="10"/>
  <c r="A78" i="10"/>
  <c r="L77" i="10"/>
  <c r="K77" i="10"/>
  <c r="H77" i="10"/>
  <c r="G77" i="10"/>
  <c r="F77" i="10"/>
  <c r="E77" i="10"/>
  <c r="D77" i="10"/>
  <c r="C77" i="10"/>
  <c r="B77" i="10"/>
  <c r="A77" i="10"/>
  <c r="L76" i="10"/>
  <c r="K76" i="10"/>
  <c r="H76" i="10"/>
  <c r="G76" i="10"/>
  <c r="F76" i="10"/>
  <c r="E76" i="10"/>
  <c r="D76" i="10"/>
  <c r="C76" i="10"/>
  <c r="B76" i="10"/>
  <c r="A76" i="10"/>
  <c r="L75" i="10"/>
  <c r="K75" i="10"/>
  <c r="H75" i="10"/>
  <c r="G75" i="10"/>
  <c r="F75" i="10"/>
  <c r="E75" i="10"/>
  <c r="D75" i="10"/>
  <c r="C75" i="10"/>
  <c r="B75" i="10"/>
  <c r="A75" i="10"/>
  <c r="L74" i="10"/>
  <c r="K74" i="10"/>
  <c r="H74" i="10"/>
  <c r="G74" i="10"/>
  <c r="F74" i="10"/>
  <c r="E74" i="10"/>
  <c r="D74" i="10"/>
  <c r="C74" i="10"/>
  <c r="B74" i="10"/>
  <c r="A74" i="10"/>
  <c r="L73" i="10"/>
  <c r="K73" i="10"/>
  <c r="H73" i="10"/>
  <c r="G73" i="10"/>
  <c r="F73" i="10"/>
  <c r="E73" i="10"/>
  <c r="D73" i="10"/>
  <c r="C73" i="10"/>
  <c r="B73" i="10"/>
  <c r="A73" i="10"/>
  <c r="L72" i="10"/>
  <c r="K72" i="10"/>
  <c r="H72" i="10"/>
  <c r="G72" i="10"/>
  <c r="F72" i="10"/>
  <c r="E72" i="10"/>
  <c r="D72" i="10"/>
  <c r="C72" i="10"/>
  <c r="B72" i="10"/>
  <c r="A72" i="10"/>
  <c r="L71" i="10"/>
  <c r="K71" i="10"/>
  <c r="H71" i="10"/>
  <c r="G71" i="10"/>
  <c r="F71" i="10"/>
  <c r="E71" i="10"/>
  <c r="D71" i="10"/>
  <c r="C71" i="10"/>
  <c r="B71" i="10"/>
  <c r="A71" i="10"/>
  <c r="L70" i="10"/>
  <c r="K70" i="10"/>
  <c r="H70" i="10"/>
  <c r="G70" i="10"/>
  <c r="F70" i="10"/>
  <c r="E70" i="10"/>
  <c r="D70" i="10"/>
  <c r="C70" i="10"/>
  <c r="B70" i="10"/>
  <c r="A70" i="10"/>
  <c r="L69" i="10"/>
  <c r="K69" i="10"/>
  <c r="H69" i="10"/>
  <c r="G69" i="10"/>
  <c r="F69" i="10"/>
  <c r="E69" i="10"/>
  <c r="D69" i="10"/>
  <c r="C69" i="10"/>
  <c r="B69" i="10"/>
  <c r="A69" i="10"/>
  <c r="L68" i="10"/>
  <c r="K68" i="10"/>
  <c r="H68" i="10"/>
  <c r="G68" i="10"/>
  <c r="F68" i="10"/>
  <c r="E68" i="10"/>
  <c r="D68" i="10"/>
  <c r="C68" i="10"/>
  <c r="B68" i="10"/>
  <c r="A68" i="10"/>
  <c r="L67" i="10"/>
  <c r="K67" i="10"/>
  <c r="H67" i="10"/>
  <c r="G67" i="10"/>
  <c r="F67" i="10"/>
  <c r="E67" i="10"/>
  <c r="D67" i="10"/>
  <c r="C67" i="10"/>
  <c r="B67" i="10"/>
  <c r="A67" i="10"/>
  <c r="L66" i="10"/>
  <c r="K66" i="10"/>
  <c r="H66" i="10"/>
  <c r="G66" i="10"/>
  <c r="F66" i="10"/>
  <c r="E66" i="10"/>
  <c r="D66" i="10"/>
  <c r="C66" i="10"/>
  <c r="B66" i="10"/>
  <c r="A66" i="10"/>
  <c r="L65" i="10"/>
  <c r="K65" i="10"/>
  <c r="H65" i="10"/>
  <c r="G65" i="10"/>
  <c r="F65" i="10"/>
  <c r="E65" i="10"/>
  <c r="D65" i="10"/>
  <c r="C65" i="10"/>
  <c r="B65" i="10"/>
  <c r="A65" i="10"/>
  <c r="L64" i="10"/>
  <c r="K64" i="10"/>
  <c r="H64" i="10"/>
  <c r="G64" i="10"/>
  <c r="F64" i="10"/>
  <c r="E64" i="10"/>
  <c r="D64" i="10"/>
  <c r="C64" i="10"/>
  <c r="B64" i="10"/>
  <c r="A64" i="10"/>
  <c r="L63" i="10"/>
  <c r="K63" i="10"/>
  <c r="H63" i="10"/>
  <c r="G63" i="10"/>
  <c r="F63" i="10"/>
  <c r="E63" i="10"/>
  <c r="D63" i="10"/>
  <c r="C63" i="10"/>
  <c r="B63" i="10"/>
  <c r="A63" i="10"/>
  <c r="L62" i="10"/>
  <c r="K62" i="10"/>
  <c r="H62" i="10"/>
  <c r="G62" i="10"/>
  <c r="F62" i="10"/>
  <c r="E62" i="10"/>
  <c r="D62" i="10"/>
  <c r="C62" i="10"/>
  <c r="B62" i="10"/>
  <c r="A62" i="10"/>
  <c r="L61" i="10"/>
  <c r="K61" i="10"/>
  <c r="H61" i="10"/>
  <c r="G61" i="10"/>
  <c r="F61" i="10"/>
  <c r="E61" i="10"/>
  <c r="D61" i="10"/>
  <c r="C61" i="10"/>
  <c r="B61" i="10"/>
  <c r="A61" i="10"/>
  <c r="L60" i="10"/>
  <c r="K60" i="10"/>
  <c r="H60" i="10"/>
  <c r="G60" i="10"/>
  <c r="F60" i="10"/>
  <c r="E60" i="10"/>
  <c r="D60" i="10"/>
  <c r="C60" i="10"/>
  <c r="B60" i="10"/>
  <c r="A60" i="10"/>
  <c r="L59" i="10"/>
  <c r="K59" i="10"/>
  <c r="H59" i="10"/>
  <c r="G59" i="10"/>
  <c r="F59" i="10"/>
  <c r="E59" i="10"/>
  <c r="D59" i="10"/>
  <c r="C59" i="10"/>
  <c r="B59" i="10"/>
  <c r="A59" i="10"/>
  <c r="L58" i="10"/>
  <c r="K58" i="10"/>
  <c r="H58" i="10"/>
  <c r="G58" i="10"/>
  <c r="F58" i="10"/>
  <c r="E58" i="10"/>
  <c r="D58" i="10"/>
  <c r="C58" i="10"/>
  <c r="B58" i="10"/>
  <c r="A58" i="10"/>
  <c r="L57" i="10"/>
  <c r="K57" i="10"/>
  <c r="H57" i="10"/>
  <c r="G57" i="10"/>
  <c r="F57" i="10"/>
  <c r="E57" i="10"/>
  <c r="D57" i="10"/>
  <c r="C57" i="10"/>
  <c r="B57" i="10"/>
  <c r="A57" i="10"/>
  <c r="L56" i="10"/>
  <c r="K56" i="10"/>
  <c r="H56" i="10"/>
  <c r="G56" i="10"/>
  <c r="F56" i="10"/>
  <c r="E56" i="10"/>
  <c r="D56" i="10"/>
  <c r="C56" i="10"/>
  <c r="B56" i="10"/>
  <c r="A56" i="10"/>
  <c r="L55" i="10"/>
  <c r="K55" i="10"/>
  <c r="H55" i="10"/>
  <c r="G55" i="10"/>
  <c r="F55" i="10"/>
  <c r="E55" i="10"/>
  <c r="D55" i="10"/>
  <c r="C55" i="10"/>
  <c r="B55" i="10"/>
  <c r="A55" i="10"/>
  <c r="L54" i="10"/>
  <c r="K54" i="10"/>
  <c r="H54" i="10"/>
  <c r="G54" i="10"/>
  <c r="F54" i="10"/>
  <c r="E54" i="10"/>
  <c r="D54" i="10"/>
  <c r="C54" i="10"/>
  <c r="B54" i="10"/>
  <c r="A54" i="10"/>
  <c r="L53" i="10"/>
  <c r="K53" i="10"/>
  <c r="H53" i="10"/>
  <c r="G53" i="10"/>
  <c r="F53" i="10"/>
  <c r="E53" i="10"/>
  <c r="D53" i="10"/>
  <c r="C53" i="10"/>
  <c r="B53" i="10"/>
  <c r="A53" i="10"/>
  <c r="L52" i="10"/>
  <c r="K52" i="10"/>
  <c r="H52" i="10"/>
  <c r="G52" i="10"/>
  <c r="F52" i="10"/>
  <c r="E52" i="10"/>
  <c r="D52" i="10"/>
  <c r="C52" i="10"/>
  <c r="B52" i="10"/>
  <c r="A52" i="10"/>
  <c r="L51" i="10"/>
  <c r="K51" i="10"/>
  <c r="H51" i="10"/>
  <c r="G51" i="10"/>
  <c r="F51" i="10"/>
  <c r="E51" i="10"/>
  <c r="D51" i="10"/>
  <c r="C51" i="10"/>
  <c r="B51" i="10"/>
  <c r="A51" i="10"/>
  <c r="L50" i="10"/>
  <c r="K50" i="10"/>
  <c r="H50" i="10"/>
  <c r="G50" i="10"/>
  <c r="F50" i="10"/>
  <c r="E50" i="10"/>
  <c r="D50" i="10"/>
  <c r="C50" i="10"/>
  <c r="B50" i="10"/>
  <c r="A50" i="10"/>
  <c r="L49" i="10"/>
  <c r="K49" i="10"/>
  <c r="H49" i="10"/>
  <c r="G49" i="10"/>
  <c r="F49" i="10"/>
  <c r="E49" i="10"/>
  <c r="D49" i="10"/>
  <c r="C49" i="10"/>
  <c r="B49" i="10"/>
  <c r="A49" i="10"/>
  <c r="L48" i="10"/>
  <c r="K48" i="10"/>
  <c r="H48" i="10"/>
  <c r="G48" i="10"/>
  <c r="F48" i="10"/>
  <c r="E48" i="10"/>
  <c r="D48" i="10"/>
  <c r="C48" i="10"/>
  <c r="B48" i="10"/>
  <c r="A48" i="10"/>
  <c r="L47" i="10"/>
  <c r="K47" i="10"/>
  <c r="H47" i="10"/>
  <c r="G47" i="10"/>
  <c r="F47" i="10"/>
  <c r="E47" i="10"/>
  <c r="D47" i="10"/>
  <c r="C47" i="10"/>
  <c r="B47" i="10"/>
  <c r="A47" i="10"/>
  <c r="L46" i="10"/>
  <c r="K46" i="10"/>
  <c r="H46" i="10"/>
  <c r="G46" i="10"/>
  <c r="F46" i="10"/>
  <c r="E46" i="10"/>
  <c r="D46" i="10"/>
  <c r="C46" i="10"/>
  <c r="B46" i="10"/>
  <c r="A46" i="10"/>
  <c r="L45" i="10"/>
  <c r="K45" i="10"/>
  <c r="H45" i="10"/>
  <c r="G45" i="10"/>
  <c r="F45" i="10"/>
  <c r="E45" i="10"/>
  <c r="D45" i="10"/>
  <c r="C45" i="10"/>
  <c r="B45" i="10"/>
  <c r="A45" i="10"/>
  <c r="L44" i="10"/>
  <c r="K44" i="10"/>
  <c r="H44" i="10"/>
  <c r="G44" i="10"/>
  <c r="F44" i="10"/>
  <c r="E44" i="10"/>
  <c r="D44" i="10"/>
  <c r="C44" i="10"/>
  <c r="B44" i="10"/>
  <c r="A44" i="10"/>
  <c r="L43" i="10"/>
  <c r="K43" i="10"/>
  <c r="H43" i="10"/>
  <c r="G43" i="10"/>
  <c r="F43" i="10"/>
  <c r="E43" i="10"/>
  <c r="D43" i="10"/>
  <c r="C43" i="10"/>
  <c r="B43" i="10"/>
  <c r="A43" i="10"/>
  <c r="L42" i="10"/>
  <c r="K42" i="10"/>
  <c r="H42" i="10"/>
  <c r="G42" i="10"/>
  <c r="F42" i="10"/>
  <c r="E42" i="10"/>
  <c r="D42" i="10"/>
  <c r="C42" i="10"/>
  <c r="B42" i="10"/>
  <c r="A42" i="10"/>
  <c r="L41" i="10"/>
  <c r="K41" i="10"/>
  <c r="H41" i="10"/>
  <c r="G41" i="10"/>
  <c r="F41" i="10"/>
  <c r="E41" i="10"/>
  <c r="D41" i="10"/>
  <c r="C41" i="10"/>
  <c r="B41" i="10"/>
  <c r="A41" i="10"/>
  <c r="L40" i="10"/>
  <c r="K40" i="10"/>
  <c r="H40" i="10"/>
  <c r="G40" i="10"/>
  <c r="F40" i="10"/>
  <c r="E40" i="10"/>
  <c r="D40" i="10"/>
  <c r="C40" i="10"/>
  <c r="B40" i="10"/>
  <c r="A40" i="10"/>
  <c r="L39" i="10"/>
  <c r="K39" i="10"/>
  <c r="H39" i="10"/>
  <c r="G39" i="10"/>
  <c r="F39" i="10"/>
  <c r="E39" i="10"/>
  <c r="D39" i="10"/>
  <c r="C39" i="10"/>
  <c r="B39" i="10"/>
  <c r="A39" i="10"/>
  <c r="L38" i="10"/>
  <c r="K38" i="10"/>
  <c r="H38" i="10"/>
  <c r="G38" i="10"/>
  <c r="F38" i="10"/>
  <c r="E38" i="10"/>
  <c r="D38" i="10"/>
  <c r="C38" i="10"/>
  <c r="B38" i="10"/>
  <c r="A38" i="10"/>
  <c r="L37" i="10"/>
  <c r="K37" i="10"/>
  <c r="H37" i="10"/>
  <c r="G37" i="10"/>
  <c r="F37" i="10"/>
  <c r="E37" i="10"/>
  <c r="D37" i="10"/>
  <c r="C37" i="10"/>
  <c r="B37" i="10"/>
  <c r="A37" i="10"/>
  <c r="L36" i="10"/>
  <c r="K36" i="10"/>
  <c r="H36" i="10"/>
  <c r="G36" i="10"/>
  <c r="F36" i="10"/>
  <c r="E36" i="10"/>
  <c r="D36" i="10"/>
  <c r="C36" i="10"/>
  <c r="B36" i="10"/>
  <c r="A36" i="10"/>
  <c r="L35" i="10"/>
  <c r="K35" i="10"/>
  <c r="H35" i="10"/>
  <c r="G35" i="10"/>
  <c r="F35" i="10"/>
  <c r="E35" i="10"/>
  <c r="D35" i="10"/>
  <c r="C35" i="10"/>
  <c r="B35" i="10"/>
  <c r="A35" i="10"/>
  <c r="L34" i="10"/>
  <c r="K34" i="10"/>
  <c r="H34" i="10"/>
  <c r="G34" i="10"/>
  <c r="F34" i="10"/>
  <c r="E34" i="10"/>
  <c r="D34" i="10"/>
  <c r="C34" i="10"/>
  <c r="B34" i="10"/>
  <c r="A34" i="10"/>
  <c r="L33" i="10"/>
  <c r="K33" i="10"/>
  <c r="H33" i="10"/>
  <c r="G33" i="10"/>
  <c r="F33" i="10"/>
  <c r="E33" i="10"/>
  <c r="D33" i="10"/>
  <c r="C33" i="10"/>
  <c r="B33" i="10"/>
  <c r="A33" i="10"/>
  <c r="L32" i="10"/>
  <c r="K32" i="10"/>
  <c r="H32" i="10"/>
  <c r="G32" i="10"/>
  <c r="F32" i="10"/>
  <c r="E32" i="10"/>
  <c r="D32" i="10"/>
  <c r="C32" i="10"/>
  <c r="B32" i="10"/>
  <c r="A32" i="10"/>
  <c r="L31" i="10"/>
  <c r="K31" i="10"/>
  <c r="H31" i="10"/>
  <c r="G31" i="10"/>
  <c r="F31" i="10"/>
  <c r="E31" i="10"/>
  <c r="D31" i="10"/>
  <c r="C31" i="10"/>
  <c r="B31" i="10"/>
  <c r="A31" i="10"/>
  <c r="L30" i="10"/>
  <c r="K30" i="10"/>
  <c r="H30" i="10"/>
  <c r="G30" i="10"/>
  <c r="F30" i="10"/>
  <c r="E30" i="10"/>
  <c r="D30" i="10"/>
  <c r="C30" i="10"/>
  <c r="B30" i="10"/>
  <c r="A30" i="10"/>
  <c r="L29" i="10"/>
  <c r="K29" i="10"/>
  <c r="H29" i="10"/>
  <c r="G29" i="10"/>
  <c r="F29" i="10"/>
  <c r="E29" i="10"/>
  <c r="D29" i="10"/>
  <c r="C29" i="10"/>
  <c r="B29" i="10"/>
  <c r="A29" i="10"/>
  <c r="L28" i="10"/>
  <c r="K28" i="10"/>
  <c r="H28" i="10"/>
  <c r="G28" i="10"/>
  <c r="F28" i="10"/>
  <c r="E28" i="10"/>
  <c r="D28" i="10"/>
  <c r="C28" i="10"/>
  <c r="B28" i="10"/>
  <c r="A28" i="10"/>
  <c r="L27" i="10"/>
  <c r="K27" i="10"/>
  <c r="H27" i="10"/>
  <c r="G27" i="10"/>
  <c r="F27" i="10"/>
  <c r="E27" i="10"/>
  <c r="D27" i="10"/>
  <c r="C27" i="10"/>
  <c r="B27" i="10"/>
  <c r="A27" i="10"/>
  <c r="L26" i="10"/>
  <c r="K26" i="10"/>
  <c r="H26" i="10"/>
  <c r="G26" i="10"/>
  <c r="F26" i="10"/>
  <c r="E26" i="10"/>
  <c r="D26" i="10"/>
  <c r="C26" i="10"/>
  <c r="B26" i="10"/>
  <c r="A26" i="10"/>
  <c r="L25" i="10"/>
  <c r="K25" i="10"/>
  <c r="H25" i="10"/>
  <c r="G25" i="10"/>
  <c r="F25" i="10"/>
  <c r="E25" i="10"/>
  <c r="D25" i="10"/>
  <c r="C25" i="10"/>
  <c r="B25" i="10"/>
  <c r="A25" i="10"/>
  <c r="L24" i="10"/>
  <c r="K24" i="10"/>
  <c r="H24" i="10"/>
  <c r="G24" i="10"/>
  <c r="F24" i="10"/>
  <c r="E24" i="10"/>
  <c r="D24" i="10"/>
  <c r="C24" i="10"/>
  <c r="B24" i="10"/>
  <c r="A24" i="10"/>
  <c r="L23" i="10"/>
  <c r="K23" i="10"/>
  <c r="H23" i="10"/>
  <c r="G23" i="10"/>
  <c r="F23" i="10"/>
  <c r="E23" i="10"/>
  <c r="D23" i="10"/>
  <c r="C23" i="10"/>
  <c r="B23" i="10"/>
  <c r="A23" i="10"/>
  <c r="L22" i="10"/>
  <c r="K22" i="10"/>
  <c r="H22" i="10"/>
  <c r="G22" i="10"/>
  <c r="F22" i="10"/>
  <c r="E22" i="10"/>
  <c r="D22" i="10"/>
  <c r="C22" i="10"/>
  <c r="B22" i="10"/>
  <c r="A22" i="10"/>
  <c r="L21" i="10"/>
  <c r="K21" i="10"/>
  <c r="H21" i="10"/>
  <c r="G21" i="10"/>
  <c r="F21" i="10"/>
  <c r="E21" i="10"/>
  <c r="D21" i="10"/>
  <c r="C21" i="10"/>
  <c r="B21" i="10"/>
  <c r="A21" i="10"/>
  <c r="L20" i="10"/>
  <c r="K20" i="10"/>
  <c r="H20" i="10"/>
  <c r="G20" i="10"/>
  <c r="F20" i="10"/>
  <c r="E20" i="10"/>
  <c r="D20" i="10"/>
  <c r="C20" i="10"/>
  <c r="B20" i="10"/>
  <c r="A20" i="10"/>
  <c r="L19" i="10"/>
  <c r="K19" i="10"/>
  <c r="H19" i="10"/>
  <c r="G19" i="10"/>
  <c r="F19" i="10"/>
  <c r="E19" i="10"/>
  <c r="D19" i="10"/>
  <c r="C19" i="10"/>
  <c r="B19" i="10"/>
  <c r="A19" i="10"/>
  <c r="L18" i="10"/>
  <c r="K18" i="10"/>
  <c r="H18" i="10"/>
  <c r="G18" i="10"/>
  <c r="F18" i="10"/>
  <c r="E18" i="10"/>
  <c r="D18" i="10"/>
  <c r="C18" i="10"/>
  <c r="B18" i="10"/>
  <c r="A18" i="10"/>
  <c r="L17" i="10"/>
  <c r="K17" i="10"/>
  <c r="H17" i="10"/>
  <c r="G17" i="10"/>
  <c r="F17" i="10"/>
  <c r="E17" i="10"/>
  <c r="D17" i="10"/>
  <c r="C17" i="10"/>
  <c r="B17" i="10"/>
  <c r="A17" i="10"/>
  <c r="L16" i="10"/>
  <c r="K16" i="10"/>
  <c r="H16" i="10"/>
  <c r="G16" i="10"/>
  <c r="F16" i="10"/>
  <c r="E16" i="10"/>
  <c r="D16" i="10"/>
  <c r="C16" i="10"/>
  <c r="B16" i="10"/>
  <c r="A16" i="10"/>
  <c r="L15" i="10"/>
  <c r="K15" i="10"/>
  <c r="H15" i="10"/>
  <c r="G15" i="10"/>
  <c r="F15" i="10"/>
  <c r="E15" i="10"/>
  <c r="D15" i="10"/>
  <c r="C15" i="10"/>
  <c r="B15" i="10"/>
  <c r="A15" i="10"/>
  <c r="L14" i="10"/>
  <c r="K14" i="10"/>
  <c r="H14" i="10"/>
  <c r="G14" i="10"/>
  <c r="F14" i="10"/>
  <c r="E14" i="10"/>
  <c r="D14" i="10"/>
  <c r="C14" i="10"/>
  <c r="B14" i="10"/>
  <c r="A14" i="10"/>
  <c r="L13" i="10"/>
  <c r="K13" i="10"/>
  <c r="H13" i="10"/>
  <c r="G13" i="10"/>
  <c r="F13" i="10"/>
  <c r="E13" i="10"/>
  <c r="D13" i="10"/>
  <c r="C13" i="10"/>
  <c r="B13" i="10"/>
  <c r="A13" i="10"/>
  <c r="L12" i="10"/>
  <c r="K12" i="10"/>
  <c r="H12" i="10"/>
  <c r="G12" i="10"/>
  <c r="F12" i="10"/>
  <c r="E12" i="10"/>
  <c r="D12" i="10"/>
  <c r="C12" i="10"/>
  <c r="B12" i="10"/>
  <c r="A12" i="10"/>
  <c r="L11" i="10"/>
  <c r="K11" i="10"/>
  <c r="H11" i="10"/>
  <c r="G11" i="10"/>
  <c r="F11" i="10"/>
  <c r="E11" i="10"/>
  <c r="D11" i="10"/>
  <c r="C11" i="10"/>
  <c r="B11" i="10"/>
  <c r="A11" i="10"/>
  <c r="L10" i="10"/>
  <c r="K10" i="10"/>
  <c r="H10" i="10"/>
  <c r="G10" i="10"/>
  <c r="F10" i="10"/>
  <c r="E10" i="10"/>
  <c r="D10" i="10"/>
  <c r="C10" i="10"/>
  <c r="B10" i="10"/>
  <c r="A10" i="10"/>
  <c r="L9" i="10"/>
  <c r="K9" i="10"/>
  <c r="H9" i="10"/>
  <c r="G9" i="10"/>
  <c r="F9" i="10"/>
  <c r="E9" i="10"/>
  <c r="D9" i="10"/>
  <c r="C9" i="10"/>
  <c r="B9" i="10"/>
  <c r="A9" i="10"/>
  <c r="L8" i="10"/>
  <c r="K8" i="10"/>
  <c r="H8" i="10"/>
  <c r="G8" i="10"/>
  <c r="F8" i="10"/>
  <c r="E8" i="10"/>
  <c r="D8" i="10"/>
  <c r="C8" i="10"/>
  <c r="B8" i="10"/>
  <c r="A8" i="10"/>
  <c r="K7" i="10"/>
  <c r="H7" i="10"/>
  <c r="G7" i="10"/>
  <c r="F7" i="10"/>
  <c r="E7" i="10"/>
  <c r="D7" i="10"/>
  <c r="C7" i="10"/>
  <c r="B7" i="10"/>
  <c r="A7" i="10"/>
  <c r="J2" i="10"/>
  <c r="D18" i="1" s="1"/>
  <c r="L110" i="9"/>
  <c r="K110" i="9"/>
  <c r="H110" i="9"/>
  <c r="G110" i="9"/>
  <c r="F110" i="9"/>
  <c r="E110" i="9"/>
  <c r="D110" i="9"/>
  <c r="C110" i="9"/>
  <c r="B110" i="9"/>
  <c r="A110" i="9"/>
  <c r="L109" i="9"/>
  <c r="K109" i="9"/>
  <c r="H109" i="9"/>
  <c r="G109" i="9"/>
  <c r="F109" i="9"/>
  <c r="E109" i="9"/>
  <c r="D109" i="9"/>
  <c r="C109" i="9"/>
  <c r="B109" i="9"/>
  <c r="A109" i="9"/>
  <c r="L108" i="9"/>
  <c r="K108" i="9"/>
  <c r="H108" i="9"/>
  <c r="G108" i="9"/>
  <c r="F108" i="9"/>
  <c r="E108" i="9"/>
  <c r="D108" i="9"/>
  <c r="C108" i="9"/>
  <c r="B108" i="9"/>
  <c r="A108" i="9"/>
  <c r="L107" i="9"/>
  <c r="K107" i="9"/>
  <c r="H107" i="9"/>
  <c r="G107" i="9"/>
  <c r="F107" i="9"/>
  <c r="E107" i="9"/>
  <c r="D107" i="9"/>
  <c r="C107" i="9"/>
  <c r="B107" i="9"/>
  <c r="A107" i="9"/>
  <c r="L106" i="9"/>
  <c r="K106" i="9"/>
  <c r="H106" i="9"/>
  <c r="G106" i="9"/>
  <c r="F106" i="9"/>
  <c r="E106" i="9"/>
  <c r="D106" i="9"/>
  <c r="C106" i="9"/>
  <c r="B106" i="9"/>
  <c r="A106" i="9"/>
  <c r="L105" i="9"/>
  <c r="K105" i="9"/>
  <c r="H105" i="9"/>
  <c r="G105" i="9"/>
  <c r="F105" i="9"/>
  <c r="E105" i="9"/>
  <c r="D105" i="9"/>
  <c r="C105" i="9"/>
  <c r="B105" i="9"/>
  <c r="A105" i="9"/>
  <c r="L104" i="9"/>
  <c r="K104" i="9"/>
  <c r="H104" i="9"/>
  <c r="G104" i="9"/>
  <c r="F104" i="9"/>
  <c r="E104" i="9"/>
  <c r="D104" i="9"/>
  <c r="C104" i="9"/>
  <c r="B104" i="9"/>
  <c r="A104" i="9"/>
  <c r="L103" i="9"/>
  <c r="K103" i="9"/>
  <c r="H103" i="9"/>
  <c r="G103" i="9"/>
  <c r="F103" i="9"/>
  <c r="E103" i="9"/>
  <c r="D103" i="9"/>
  <c r="C103" i="9"/>
  <c r="B103" i="9"/>
  <c r="A103" i="9"/>
  <c r="L102" i="9"/>
  <c r="K102" i="9"/>
  <c r="H102" i="9"/>
  <c r="G102" i="9"/>
  <c r="F102" i="9"/>
  <c r="E102" i="9"/>
  <c r="D102" i="9"/>
  <c r="C102" i="9"/>
  <c r="B102" i="9"/>
  <c r="A102" i="9"/>
  <c r="L101" i="9"/>
  <c r="K101" i="9"/>
  <c r="H101" i="9"/>
  <c r="G101" i="9"/>
  <c r="F101" i="9"/>
  <c r="E101" i="9"/>
  <c r="D101" i="9"/>
  <c r="C101" i="9"/>
  <c r="B101" i="9"/>
  <c r="A101" i="9"/>
  <c r="L100" i="9"/>
  <c r="K100" i="9"/>
  <c r="H100" i="9"/>
  <c r="G100" i="9"/>
  <c r="F100" i="9"/>
  <c r="E100" i="9"/>
  <c r="D100" i="9"/>
  <c r="C100" i="9"/>
  <c r="B100" i="9"/>
  <c r="A100" i="9"/>
  <c r="L99" i="9"/>
  <c r="K99" i="9"/>
  <c r="H99" i="9"/>
  <c r="G99" i="9"/>
  <c r="F99" i="9"/>
  <c r="E99" i="9"/>
  <c r="D99" i="9"/>
  <c r="C99" i="9"/>
  <c r="B99" i="9"/>
  <c r="A99" i="9"/>
  <c r="L98" i="9"/>
  <c r="K98" i="9"/>
  <c r="H98" i="9"/>
  <c r="G98" i="9"/>
  <c r="F98" i="9"/>
  <c r="E98" i="9"/>
  <c r="D98" i="9"/>
  <c r="C98" i="9"/>
  <c r="B98" i="9"/>
  <c r="A98" i="9"/>
  <c r="L97" i="9"/>
  <c r="K97" i="9"/>
  <c r="H97" i="9"/>
  <c r="G97" i="9"/>
  <c r="F97" i="9"/>
  <c r="E97" i="9"/>
  <c r="D97" i="9"/>
  <c r="C97" i="9"/>
  <c r="B97" i="9"/>
  <c r="A97" i="9"/>
  <c r="L96" i="9"/>
  <c r="K96" i="9"/>
  <c r="H96" i="9"/>
  <c r="G96" i="9"/>
  <c r="F96" i="9"/>
  <c r="E96" i="9"/>
  <c r="D96" i="9"/>
  <c r="C96" i="9"/>
  <c r="B96" i="9"/>
  <c r="A96" i="9"/>
  <c r="L95" i="9"/>
  <c r="K95" i="9"/>
  <c r="H95" i="9"/>
  <c r="G95" i="9"/>
  <c r="F95" i="9"/>
  <c r="E95" i="9"/>
  <c r="D95" i="9"/>
  <c r="C95" i="9"/>
  <c r="B95" i="9"/>
  <c r="A95" i="9"/>
  <c r="L94" i="9"/>
  <c r="K94" i="9"/>
  <c r="H94" i="9"/>
  <c r="G94" i="9"/>
  <c r="F94" i="9"/>
  <c r="E94" i="9"/>
  <c r="D94" i="9"/>
  <c r="C94" i="9"/>
  <c r="B94" i="9"/>
  <c r="A94" i="9"/>
  <c r="L93" i="9"/>
  <c r="K93" i="9"/>
  <c r="H93" i="9"/>
  <c r="G93" i="9"/>
  <c r="F93" i="9"/>
  <c r="E93" i="9"/>
  <c r="D93" i="9"/>
  <c r="C93" i="9"/>
  <c r="B93" i="9"/>
  <c r="A93" i="9"/>
  <c r="L92" i="9"/>
  <c r="K92" i="9"/>
  <c r="H92" i="9"/>
  <c r="G92" i="9"/>
  <c r="F92" i="9"/>
  <c r="E92" i="9"/>
  <c r="D92" i="9"/>
  <c r="C92" i="9"/>
  <c r="B92" i="9"/>
  <c r="A92" i="9"/>
  <c r="L91" i="9"/>
  <c r="K91" i="9"/>
  <c r="H91" i="9"/>
  <c r="G91" i="9"/>
  <c r="F91" i="9"/>
  <c r="E91" i="9"/>
  <c r="D91" i="9"/>
  <c r="C91" i="9"/>
  <c r="B91" i="9"/>
  <c r="A91" i="9"/>
  <c r="L90" i="9"/>
  <c r="K90" i="9"/>
  <c r="H90" i="9"/>
  <c r="G90" i="9"/>
  <c r="F90" i="9"/>
  <c r="E90" i="9"/>
  <c r="D90" i="9"/>
  <c r="C90" i="9"/>
  <c r="B90" i="9"/>
  <c r="A90" i="9"/>
  <c r="L89" i="9"/>
  <c r="K89" i="9"/>
  <c r="H89" i="9"/>
  <c r="G89" i="9"/>
  <c r="F89" i="9"/>
  <c r="E89" i="9"/>
  <c r="D89" i="9"/>
  <c r="C89" i="9"/>
  <c r="B89" i="9"/>
  <c r="A89" i="9"/>
  <c r="L88" i="9"/>
  <c r="K88" i="9"/>
  <c r="H88" i="9"/>
  <c r="G88" i="9"/>
  <c r="F88" i="9"/>
  <c r="E88" i="9"/>
  <c r="D88" i="9"/>
  <c r="C88" i="9"/>
  <c r="B88" i="9"/>
  <c r="A88" i="9"/>
  <c r="L87" i="9"/>
  <c r="K87" i="9"/>
  <c r="H87" i="9"/>
  <c r="G87" i="9"/>
  <c r="F87" i="9"/>
  <c r="E87" i="9"/>
  <c r="D87" i="9"/>
  <c r="C87" i="9"/>
  <c r="B87" i="9"/>
  <c r="A87" i="9"/>
  <c r="L86" i="9"/>
  <c r="K86" i="9"/>
  <c r="H86" i="9"/>
  <c r="G86" i="9"/>
  <c r="F86" i="9"/>
  <c r="E86" i="9"/>
  <c r="D86" i="9"/>
  <c r="C86" i="9"/>
  <c r="B86" i="9"/>
  <c r="A86" i="9"/>
  <c r="L85" i="9"/>
  <c r="K85" i="9"/>
  <c r="H85" i="9"/>
  <c r="G85" i="9"/>
  <c r="F85" i="9"/>
  <c r="E85" i="9"/>
  <c r="D85" i="9"/>
  <c r="C85" i="9"/>
  <c r="B85" i="9"/>
  <c r="A85" i="9"/>
  <c r="L84" i="9"/>
  <c r="K84" i="9"/>
  <c r="H84" i="9"/>
  <c r="G84" i="9"/>
  <c r="F84" i="9"/>
  <c r="E84" i="9"/>
  <c r="D84" i="9"/>
  <c r="C84" i="9"/>
  <c r="B84" i="9"/>
  <c r="A84" i="9"/>
  <c r="L83" i="9"/>
  <c r="K83" i="9"/>
  <c r="H83" i="9"/>
  <c r="G83" i="9"/>
  <c r="F83" i="9"/>
  <c r="E83" i="9"/>
  <c r="D83" i="9"/>
  <c r="C83" i="9"/>
  <c r="B83" i="9"/>
  <c r="A83" i="9"/>
  <c r="L82" i="9"/>
  <c r="K82" i="9"/>
  <c r="H82" i="9"/>
  <c r="G82" i="9"/>
  <c r="F82" i="9"/>
  <c r="E82" i="9"/>
  <c r="D82" i="9"/>
  <c r="C82" i="9"/>
  <c r="B82" i="9"/>
  <c r="A82" i="9"/>
  <c r="L81" i="9"/>
  <c r="K81" i="9"/>
  <c r="H81" i="9"/>
  <c r="G81" i="9"/>
  <c r="F81" i="9"/>
  <c r="E81" i="9"/>
  <c r="D81" i="9"/>
  <c r="C81" i="9"/>
  <c r="B81" i="9"/>
  <c r="A81" i="9"/>
  <c r="L80" i="9"/>
  <c r="K80" i="9"/>
  <c r="H80" i="9"/>
  <c r="G80" i="9"/>
  <c r="F80" i="9"/>
  <c r="E80" i="9"/>
  <c r="D80" i="9"/>
  <c r="C80" i="9"/>
  <c r="B80" i="9"/>
  <c r="A80" i="9"/>
  <c r="L79" i="9"/>
  <c r="K79" i="9"/>
  <c r="H79" i="9"/>
  <c r="G79" i="9"/>
  <c r="F79" i="9"/>
  <c r="E79" i="9"/>
  <c r="D79" i="9"/>
  <c r="C79" i="9"/>
  <c r="B79" i="9"/>
  <c r="A79" i="9"/>
  <c r="L78" i="9"/>
  <c r="K78" i="9"/>
  <c r="H78" i="9"/>
  <c r="G78" i="9"/>
  <c r="F78" i="9"/>
  <c r="E78" i="9"/>
  <c r="D78" i="9"/>
  <c r="C78" i="9"/>
  <c r="B78" i="9"/>
  <c r="A78" i="9"/>
  <c r="L77" i="9"/>
  <c r="K77" i="9"/>
  <c r="H77" i="9"/>
  <c r="G77" i="9"/>
  <c r="F77" i="9"/>
  <c r="E77" i="9"/>
  <c r="D77" i="9"/>
  <c r="C77" i="9"/>
  <c r="B77" i="9"/>
  <c r="A77" i="9"/>
  <c r="L76" i="9"/>
  <c r="K76" i="9"/>
  <c r="H76" i="9"/>
  <c r="G76" i="9"/>
  <c r="F76" i="9"/>
  <c r="E76" i="9"/>
  <c r="D76" i="9"/>
  <c r="C76" i="9"/>
  <c r="B76" i="9"/>
  <c r="A76" i="9"/>
  <c r="L75" i="9"/>
  <c r="K75" i="9"/>
  <c r="H75" i="9"/>
  <c r="G75" i="9"/>
  <c r="F75" i="9"/>
  <c r="E75" i="9"/>
  <c r="D75" i="9"/>
  <c r="C75" i="9"/>
  <c r="B75" i="9"/>
  <c r="A75" i="9"/>
  <c r="L74" i="9"/>
  <c r="K74" i="9"/>
  <c r="H74" i="9"/>
  <c r="G74" i="9"/>
  <c r="F74" i="9"/>
  <c r="E74" i="9"/>
  <c r="D74" i="9"/>
  <c r="C74" i="9"/>
  <c r="B74" i="9"/>
  <c r="A74" i="9"/>
  <c r="L73" i="9"/>
  <c r="K73" i="9"/>
  <c r="H73" i="9"/>
  <c r="G73" i="9"/>
  <c r="F73" i="9"/>
  <c r="E73" i="9"/>
  <c r="D73" i="9"/>
  <c r="C73" i="9"/>
  <c r="B73" i="9"/>
  <c r="A73" i="9"/>
  <c r="L72" i="9"/>
  <c r="K72" i="9"/>
  <c r="H72" i="9"/>
  <c r="G72" i="9"/>
  <c r="F72" i="9"/>
  <c r="E72" i="9"/>
  <c r="D72" i="9"/>
  <c r="C72" i="9"/>
  <c r="B72" i="9"/>
  <c r="A72" i="9"/>
  <c r="L71" i="9"/>
  <c r="K71" i="9"/>
  <c r="H71" i="9"/>
  <c r="G71" i="9"/>
  <c r="F71" i="9"/>
  <c r="E71" i="9"/>
  <c r="D71" i="9"/>
  <c r="C71" i="9"/>
  <c r="B71" i="9"/>
  <c r="A71" i="9"/>
  <c r="L70" i="9"/>
  <c r="K70" i="9"/>
  <c r="H70" i="9"/>
  <c r="G70" i="9"/>
  <c r="F70" i="9"/>
  <c r="E70" i="9"/>
  <c r="D70" i="9"/>
  <c r="C70" i="9"/>
  <c r="B70" i="9"/>
  <c r="A70" i="9"/>
  <c r="L69" i="9"/>
  <c r="K69" i="9"/>
  <c r="H69" i="9"/>
  <c r="G69" i="9"/>
  <c r="F69" i="9"/>
  <c r="E69" i="9"/>
  <c r="D69" i="9"/>
  <c r="C69" i="9"/>
  <c r="B69" i="9"/>
  <c r="A69" i="9"/>
  <c r="L68" i="9"/>
  <c r="K68" i="9"/>
  <c r="H68" i="9"/>
  <c r="G68" i="9"/>
  <c r="F68" i="9"/>
  <c r="E68" i="9"/>
  <c r="D68" i="9"/>
  <c r="C68" i="9"/>
  <c r="B68" i="9"/>
  <c r="A68" i="9"/>
  <c r="L67" i="9"/>
  <c r="K67" i="9"/>
  <c r="H67" i="9"/>
  <c r="G67" i="9"/>
  <c r="F67" i="9"/>
  <c r="E67" i="9"/>
  <c r="D67" i="9"/>
  <c r="C67" i="9"/>
  <c r="B67" i="9"/>
  <c r="A67" i="9"/>
  <c r="L66" i="9"/>
  <c r="K66" i="9"/>
  <c r="H66" i="9"/>
  <c r="G66" i="9"/>
  <c r="F66" i="9"/>
  <c r="E66" i="9"/>
  <c r="D66" i="9"/>
  <c r="C66" i="9"/>
  <c r="B66" i="9"/>
  <c r="A66" i="9"/>
  <c r="L65" i="9"/>
  <c r="K65" i="9"/>
  <c r="H65" i="9"/>
  <c r="G65" i="9"/>
  <c r="F65" i="9"/>
  <c r="E65" i="9"/>
  <c r="D65" i="9"/>
  <c r="C65" i="9"/>
  <c r="B65" i="9"/>
  <c r="A65" i="9"/>
  <c r="L64" i="9"/>
  <c r="K64" i="9"/>
  <c r="H64" i="9"/>
  <c r="G64" i="9"/>
  <c r="F64" i="9"/>
  <c r="E64" i="9"/>
  <c r="D64" i="9"/>
  <c r="C64" i="9"/>
  <c r="B64" i="9"/>
  <c r="A64" i="9"/>
  <c r="L63" i="9"/>
  <c r="K63" i="9"/>
  <c r="H63" i="9"/>
  <c r="G63" i="9"/>
  <c r="F63" i="9"/>
  <c r="E63" i="9"/>
  <c r="D63" i="9"/>
  <c r="C63" i="9"/>
  <c r="B63" i="9"/>
  <c r="A63" i="9"/>
  <c r="L62" i="9"/>
  <c r="K62" i="9"/>
  <c r="H62" i="9"/>
  <c r="G62" i="9"/>
  <c r="F62" i="9"/>
  <c r="E62" i="9"/>
  <c r="D62" i="9"/>
  <c r="C62" i="9"/>
  <c r="B62" i="9"/>
  <c r="A62" i="9"/>
  <c r="L61" i="9"/>
  <c r="K61" i="9"/>
  <c r="H61" i="9"/>
  <c r="G61" i="9"/>
  <c r="F61" i="9"/>
  <c r="E61" i="9"/>
  <c r="D61" i="9"/>
  <c r="C61" i="9"/>
  <c r="B61" i="9"/>
  <c r="A61" i="9"/>
  <c r="L60" i="9"/>
  <c r="K60" i="9"/>
  <c r="H60" i="9"/>
  <c r="G60" i="9"/>
  <c r="F60" i="9"/>
  <c r="E60" i="9"/>
  <c r="D60" i="9"/>
  <c r="C60" i="9"/>
  <c r="B60" i="9"/>
  <c r="A60" i="9"/>
  <c r="L59" i="9"/>
  <c r="K59" i="9"/>
  <c r="H59" i="9"/>
  <c r="G59" i="9"/>
  <c r="F59" i="9"/>
  <c r="E59" i="9"/>
  <c r="D59" i="9"/>
  <c r="C59" i="9"/>
  <c r="B59" i="9"/>
  <c r="A59" i="9"/>
  <c r="L58" i="9"/>
  <c r="K58" i="9"/>
  <c r="H58" i="9"/>
  <c r="G58" i="9"/>
  <c r="F58" i="9"/>
  <c r="E58" i="9"/>
  <c r="D58" i="9"/>
  <c r="C58" i="9"/>
  <c r="B58" i="9"/>
  <c r="A58" i="9"/>
  <c r="L57" i="9"/>
  <c r="K57" i="9"/>
  <c r="H57" i="9"/>
  <c r="G57" i="9"/>
  <c r="F57" i="9"/>
  <c r="E57" i="9"/>
  <c r="D57" i="9"/>
  <c r="C57" i="9"/>
  <c r="B57" i="9"/>
  <c r="A57" i="9"/>
  <c r="L56" i="9"/>
  <c r="K56" i="9"/>
  <c r="H56" i="9"/>
  <c r="G56" i="9"/>
  <c r="F56" i="9"/>
  <c r="E56" i="9"/>
  <c r="D56" i="9"/>
  <c r="C56" i="9"/>
  <c r="B56" i="9"/>
  <c r="A56" i="9"/>
  <c r="L55" i="9"/>
  <c r="K55" i="9"/>
  <c r="H55" i="9"/>
  <c r="G55" i="9"/>
  <c r="F55" i="9"/>
  <c r="E55" i="9"/>
  <c r="D55" i="9"/>
  <c r="C55" i="9"/>
  <c r="B55" i="9"/>
  <c r="A55" i="9"/>
  <c r="L54" i="9"/>
  <c r="K54" i="9"/>
  <c r="H54" i="9"/>
  <c r="G54" i="9"/>
  <c r="F54" i="9"/>
  <c r="E54" i="9"/>
  <c r="D54" i="9"/>
  <c r="C54" i="9"/>
  <c r="B54" i="9"/>
  <c r="A54" i="9"/>
  <c r="L53" i="9"/>
  <c r="K53" i="9"/>
  <c r="H53" i="9"/>
  <c r="G53" i="9"/>
  <c r="F53" i="9"/>
  <c r="E53" i="9"/>
  <c r="D53" i="9"/>
  <c r="C53" i="9"/>
  <c r="B53" i="9"/>
  <c r="A53" i="9"/>
  <c r="L52" i="9"/>
  <c r="K52" i="9"/>
  <c r="H52" i="9"/>
  <c r="G52" i="9"/>
  <c r="F52" i="9"/>
  <c r="E52" i="9"/>
  <c r="D52" i="9"/>
  <c r="C52" i="9"/>
  <c r="B52" i="9"/>
  <c r="A52" i="9"/>
  <c r="L51" i="9"/>
  <c r="K51" i="9"/>
  <c r="H51" i="9"/>
  <c r="G51" i="9"/>
  <c r="F51" i="9"/>
  <c r="E51" i="9"/>
  <c r="D51" i="9"/>
  <c r="C51" i="9"/>
  <c r="B51" i="9"/>
  <c r="A51" i="9"/>
  <c r="L50" i="9"/>
  <c r="K50" i="9"/>
  <c r="H50" i="9"/>
  <c r="G50" i="9"/>
  <c r="F50" i="9"/>
  <c r="E50" i="9"/>
  <c r="D50" i="9"/>
  <c r="C50" i="9"/>
  <c r="B50" i="9"/>
  <c r="A50" i="9"/>
  <c r="L49" i="9"/>
  <c r="K49" i="9"/>
  <c r="H49" i="9"/>
  <c r="G49" i="9"/>
  <c r="F49" i="9"/>
  <c r="E49" i="9"/>
  <c r="D49" i="9"/>
  <c r="C49" i="9"/>
  <c r="B49" i="9"/>
  <c r="A49" i="9"/>
  <c r="L48" i="9"/>
  <c r="K48" i="9"/>
  <c r="H48" i="9"/>
  <c r="G48" i="9"/>
  <c r="F48" i="9"/>
  <c r="E48" i="9"/>
  <c r="D48" i="9"/>
  <c r="C48" i="9"/>
  <c r="B48" i="9"/>
  <c r="A48" i="9"/>
  <c r="L47" i="9"/>
  <c r="K47" i="9"/>
  <c r="H47" i="9"/>
  <c r="G47" i="9"/>
  <c r="F47" i="9"/>
  <c r="E47" i="9"/>
  <c r="D47" i="9"/>
  <c r="C47" i="9"/>
  <c r="B47" i="9"/>
  <c r="A47" i="9"/>
  <c r="L46" i="9"/>
  <c r="K46" i="9"/>
  <c r="H46" i="9"/>
  <c r="G46" i="9"/>
  <c r="F46" i="9"/>
  <c r="E46" i="9"/>
  <c r="D46" i="9"/>
  <c r="C46" i="9"/>
  <c r="B46" i="9"/>
  <c r="A46" i="9"/>
  <c r="L45" i="9"/>
  <c r="K45" i="9"/>
  <c r="H45" i="9"/>
  <c r="G45" i="9"/>
  <c r="F45" i="9"/>
  <c r="E45" i="9"/>
  <c r="D45" i="9"/>
  <c r="C45" i="9"/>
  <c r="B45" i="9"/>
  <c r="A45" i="9"/>
  <c r="L44" i="9"/>
  <c r="K44" i="9"/>
  <c r="H44" i="9"/>
  <c r="G44" i="9"/>
  <c r="F44" i="9"/>
  <c r="E44" i="9"/>
  <c r="D44" i="9"/>
  <c r="C44" i="9"/>
  <c r="B44" i="9"/>
  <c r="A44" i="9"/>
  <c r="L43" i="9"/>
  <c r="K43" i="9"/>
  <c r="H43" i="9"/>
  <c r="G43" i="9"/>
  <c r="F43" i="9"/>
  <c r="E43" i="9"/>
  <c r="D43" i="9"/>
  <c r="C43" i="9"/>
  <c r="B43" i="9"/>
  <c r="A43" i="9"/>
  <c r="L42" i="9"/>
  <c r="K42" i="9"/>
  <c r="H42" i="9"/>
  <c r="G42" i="9"/>
  <c r="F42" i="9"/>
  <c r="E42" i="9"/>
  <c r="D42" i="9"/>
  <c r="C42" i="9"/>
  <c r="B42" i="9"/>
  <c r="A42" i="9"/>
  <c r="L41" i="9"/>
  <c r="K41" i="9"/>
  <c r="H41" i="9"/>
  <c r="G41" i="9"/>
  <c r="F41" i="9"/>
  <c r="E41" i="9"/>
  <c r="D41" i="9"/>
  <c r="C41" i="9"/>
  <c r="B41" i="9"/>
  <c r="A41" i="9"/>
  <c r="L40" i="9"/>
  <c r="K40" i="9"/>
  <c r="H40" i="9"/>
  <c r="G40" i="9"/>
  <c r="F40" i="9"/>
  <c r="E40" i="9"/>
  <c r="D40" i="9"/>
  <c r="C40" i="9"/>
  <c r="B40" i="9"/>
  <c r="A40" i="9"/>
  <c r="L39" i="9"/>
  <c r="K39" i="9"/>
  <c r="H39" i="9"/>
  <c r="G39" i="9"/>
  <c r="F39" i="9"/>
  <c r="E39" i="9"/>
  <c r="D39" i="9"/>
  <c r="C39" i="9"/>
  <c r="B39" i="9"/>
  <c r="A39" i="9"/>
  <c r="L38" i="9"/>
  <c r="K38" i="9"/>
  <c r="H38" i="9"/>
  <c r="G38" i="9"/>
  <c r="F38" i="9"/>
  <c r="E38" i="9"/>
  <c r="D38" i="9"/>
  <c r="C38" i="9"/>
  <c r="B38" i="9"/>
  <c r="A38" i="9"/>
  <c r="L37" i="9"/>
  <c r="K37" i="9"/>
  <c r="H37" i="9"/>
  <c r="G37" i="9"/>
  <c r="F37" i="9"/>
  <c r="E37" i="9"/>
  <c r="D37" i="9"/>
  <c r="C37" i="9"/>
  <c r="B37" i="9"/>
  <c r="A37" i="9"/>
  <c r="L36" i="9"/>
  <c r="K36" i="9"/>
  <c r="H36" i="9"/>
  <c r="G36" i="9"/>
  <c r="F36" i="9"/>
  <c r="E36" i="9"/>
  <c r="D36" i="9"/>
  <c r="C36" i="9"/>
  <c r="B36" i="9"/>
  <c r="A36" i="9"/>
  <c r="L35" i="9"/>
  <c r="K35" i="9"/>
  <c r="H35" i="9"/>
  <c r="G35" i="9"/>
  <c r="F35" i="9"/>
  <c r="E35" i="9"/>
  <c r="D35" i="9"/>
  <c r="C35" i="9"/>
  <c r="B35" i="9"/>
  <c r="A35" i="9"/>
  <c r="L34" i="9"/>
  <c r="K34" i="9"/>
  <c r="H34" i="9"/>
  <c r="G34" i="9"/>
  <c r="F34" i="9"/>
  <c r="E34" i="9"/>
  <c r="D34" i="9"/>
  <c r="C34" i="9"/>
  <c r="B34" i="9"/>
  <c r="A34" i="9"/>
  <c r="L33" i="9"/>
  <c r="K33" i="9"/>
  <c r="H33" i="9"/>
  <c r="G33" i="9"/>
  <c r="F33" i="9"/>
  <c r="E33" i="9"/>
  <c r="D33" i="9"/>
  <c r="C33" i="9"/>
  <c r="B33" i="9"/>
  <c r="A33" i="9"/>
  <c r="L32" i="9"/>
  <c r="K32" i="9"/>
  <c r="H32" i="9"/>
  <c r="G32" i="9"/>
  <c r="F32" i="9"/>
  <c r="E32" i="9"/>
  <c r="D32" i="9"/>
  <c r="C32" i="9"/>
  <c r="B32" i="9"/>
  <c r="A32" i="9"/>
  <c r="L31" i="9"/>
  <c r="K31" i="9"/>
  <c r="H31" i="9"/>
  <c r="G31" i="9"/>
  <c r="F31" i="9"/>
  <c r="E31" i="9"/>
  <c r="D31" i="9"/>
  <c r="C31" i="9"/>
  <c r="B31" i="9"/>
  <c r="A31" i="9"/>
  <c r="L30" i="9"/>
  <c r="K30" i="9"/>
  <c r="H30" i="9"/>
  <c r="G30" i="9"/>
  <c r="F30" i="9"/>
  <c r="E30" i="9"/>
  <c r="D30" i="9"/>
  <c r="C30" i="9"/>
  <c r="B30" i="9"/>
  <c r="A30" i="9"/>
  <c r="L29" i="9"/>
  <c r="K29" i="9"/>
  <c r="H29" i="9"/>
  <c r="G29" i="9"/>
  <c r="F29" i="9"/>
  <c r="E29" i="9"/>
  <c r="D29" i="9"/>
  <c r="C29" i="9"/>
  <c r="B29" i="9"/>
  <c r="A29" i="9"/>
  <c r="L28" i="9"/>
  <c r="K28" i="9"/>
  <c r="H28" i="9"/>
  <c r="G28" i="9"/>
  <c r="F28" i="9"/>
  <c r="E28" i="9"/>
  <c r="D28" i="9"/>
  <c r="C28" i="9"/>
  <c r="B28" i="9"/>
  <c r="A28" i="9"/>
  <c r="L27" i="9"/>
  <c r="K27" i="9"/>
  <c r="H27" i="9"/>
  <c r="G27" i="9"/>
  <c r="F27" i="9"/>
  <c r="E27" i="9"/>
  <c r="D27" i="9"/>
  <c r="C27" i="9"/>
  <c r="B27" i="9"/>
  <c r="A27" i="9"/>
  <c r="L26" i="9"/>
  <c r="K26" i="9"/>
  <c r="H26" i="9"/>
  <c r="G26" i="9"/>
  <c r="F26" i="9"/>
  <c r="E26" i="9"/>
  <c r="D26" i="9"/>
  <c r="C26" i="9"/>
  <c r="B26" i="9"/>
  <c r="A26" i="9"/>
  <c r="L25" i="9"/>
  <c r="K25" i="9"/>
  <c r="H25" i="9"/>
  <c r="G25" i="9"/>
  <c r="F25" i="9"/>
  <c r="E25" i="9"/>
  <c r="D25" i="9"/>
  <c r="C25" i="9"/>
  <c r="B25" i="9"/>
  <c r="A25" i="9"/>
  <c r="L24" i="9"/>
  <c r="K24" i="9"/>
  <c r="H24" i="9"/>
  <c r="G24" i="9"/>
  <c r="F24" i="9"/>
  <c r="E24" i="9"/>
  <c r="D24" i="9"/>
  <c r="C24" i="9"/>
  <c r="B24" i="9"/>
  <c r="A24" i="9"/>
  <c r="L23" i="9"/>
  <c r="K23" i="9"/>
  <c r="H23" i="9"/>
  <c r="G23" i="9"/>
  <c r="F23" i="9"/>
  <c r="E23" i="9"/>
  <c r="D23" i="9"/>
  <c r="C23" i="9"/>
  <c r="B23" i="9"/>
  <c r="A23" i="9"/>
  <c r="L22" i="9"/>
  <c r="K22" i="9"/>
  <c r="H22" i="9"/>
  <c r="G22" i="9"/>
  <c r="F22" i="9"/>
  <c r="E22" i="9"/>
  <c r="D22" i="9"/>
  <c r="C22" i="9"/>
  <c r="B22" i="9"/>
  <c r="A22" i="9"/>
  <c r="L21" i="9"/>
  <c r="K21" i="9"/>
  <c r="H21" i="9"/>
  <c r="G21" i="9"/>
  <c r="F21" i="9"/>
  <c r="E21" i="9"/>
  <c r="D21" i="9"/>
  <c r="C21" i="9"/>
  <c r="B21" i="9"/>
  <c r="A21" i="9"/>
  <c r="L20" i="9"/>
  <c r="K20" i="9"/>
  <c r="H20" i="9"/>
  <c r="G20" i="9"/>
  <c r="F20" i="9"/>
  <c r="E20" i="9"/>
  <c r="D20" i="9"/>
  <c r="C20" i="9"/>
  <c r="B20" i="9"/>
  <c r="A20" i="9"/>
  <c r="L19" i="9"/>
  <c r="K19" i="9"/>
  <c r="H19" i="9"/>
  <c r="G19" i="9"/>
  <c r="F19" i="9"/>
  <c r="E19" i="9"/>
  <c r="D19" i="9"/>
  <c r="C19" i="9"/>
  <c r="B19" i="9"/>
  <c r="A19" i="9"/>
  <c r="L18" i="9"/>
  <c r="K18" i="9"/>
  <c r="H18" i="9"/>
  <c r="G18" i="9"/>
  <c r="F18" i="9"/>
  <c r="E18" i="9"/>
  <c r="D18" i="9"/>
  <c r="C18" i="9"/>
  <c r="B18" i="9"/>
  <c r="A18" i="9"/>
  <c r="L17" i="9"/>
  <c r="K17" i="9"/>
  <c r="H17" i="9"/>
  <c r="G17" i="9"/>
  <c r="F17" i="9"/>
  <c r="E17" i="9"/>
  <c r="D17" i="9"/>
  <c r="C17" i="9"/>
  <c r="B17" i="9"/>
  <c r="A17" i="9"/>
  <c r="L16" i="9"/>
  <c r="K16" i="9"/>
  <c r="H16" i="9"/>
  <c r="G16" i="9"/>
  <c r="F16" i="9"/>
  <c r="E16" i="9"/>
  <c r="D16" i="9"/>
  <c r="C16" i="9"/>
  <c r="B16" i="9"/>
  <c r="A16" i="9"/>
  <c r="L15" i="9"/>
  <c r="K15" i="9"/>
  <c r="H15" i="9"/>
  <c r="G15" i="9"/>
  <c r="F15" i="9"/>
  <c r="E15" i="9"/>
  <c r="D15" i="9"/>
  <c r="C15" i="9"/>
  <c r="B15" i="9"/>
  <c r="A15" i="9"/>
  <c r="L14" i="9"/>
  <c r="K14" i="9"/>
  <c r="H14" i="9"/>
  <c r="G14" i="9"/>
  <c r="F14" i="9"/>
  <c r="E14" i="9"/>
  <c r="D14" i="9"/>
  <c r="C14" i="9"/>
  <c r="B14" i="9"/>
  <c r="A14" i="9"/>
  <c r="L13" i="9"/>
  <c r="K13" i="9"/>
  <c r="H13" i="9"/>
  <c r="G13" i="9"/>
  <c r="F13" i="9"/>
  <c r="E13" i="9"/>
  <c r="D13" i="9"/>
  <c r="C13" i="9"/>
  <c r="B13" i="9"/>
  <c r="A13" i="9"/>
  <c r="L12" i="9"/>
  <c r="K12" i="9"/>
  <c r="H12" i="9"/>
  <c r="G12" i="9"/>
  <c r="F12" i="9"/>
  <c r="E12" i="9"/>
  <c r="D12" i="9"/>
  <c r="C12" i="9"/>
  <c r="B12" i="9"/>
  <c r="A12" i="9"/>
  <c r="L11" i="9"/>
  <c r="K11" i="9"/>
  <c r="H11" i="9"/>
  <c r="G11" i="9"/>
  <c r="F11" i="9"/>
  <c r="E11" i="9"/>
  <c r="D11" i="9"/>
  <c r="C11" i="9"/>
  <c r="B11" i="9"/>
  <c r="A11" i="9"/>
  <c r="L10" i="9"/>
  <c r="K10" i="9"/>
  <c r="H10" i="9"/>
  <c r="G10" i="9"/>
  <c r="F10" i="9"/>
  <c r="E10" i="9"/>
  <c r="D10" i="9"/>
  <c r="C10" i="9"/>
  <c r="B10" i="9"/>
  <c r="A10" i="9"/>
  <c r="L9" i="9"/>
  <c r="K9" i="9"/>
  <c r="H9" i="9"/>
  <c r="G9" i="9"/>
  <c r="F9" i="9"/>
  <c r="E9" i="9"/>
  <c r="D9" i="9"/>
  <c r="C9" i="9"/>
  <c r="B9" i="9"/>
  <c r="A9" i="9"/>
  <c r="L8" i="9"/>
  <c r="K8" i="9"/>
  <c r="H8" i="9"/>
  <c r="G8" i="9"/>
  <c r="F8" i="9"/>
  <c r="E8" i="9"/>
  <c r="D8" i="9"/>
  <c r="C8" i="9"/>
  <c r="B8" i="9"/>
  <c r="A8" i="9"/>
  <c r="K7" i="9"/>
  <c r="H7" i="9"/>
  <c r="G7" i="9"/>
  <c r="F7" i="9"/>
  <c r="E7" i="9"/>
  <c r="D7" i="9"/>
  <c r="C7" i="9"/>
  <c r="B7" i="9"/>
  <c r="A7" i="9"/>
  <c r="J2" i="9"/>
  <c r="D17" i="1" s="1"/>
  <c r="L110" i="8"/>
  <c r="K110" i="8"/>
  <c r="H110" i="8"/>
  <c r="G110" i="8"/>
  <c r="F110" i="8"/>
  <c r="E110" i="8"/>
  <c r="D110" i="8"/>
  <c r="C110" i="8"/>
  <c r="B110" i="8"/>
  <c r="A110" i="8"/>
  <c r="L109" i="8"/>
  <c r="K109" i="8"/>
  <c r="H109" i="8"/>
  <c r="G109" i="8"/>
  <c r="F109" i="8"/>
  <c r="E109" i="8"/>
  <c r="D109" i="8"/>
  <c r="C109" i="8"/>
  <c r="B109" i="8"/>
  <c r="A109" i="8"/>
  <c r="L108" i="8"/>
  <c r="K108" i="8"/>
  <c r="H108" i="8"/>
  <c r="G108" i="8"/>
  <c r="F108" i="8"/>
  <c r="E108" i="8"/>
  <c r="D108" i="8"/>
  <c r="C108" i="8"/>
  <c r="B108" i="8"/>
  <c r="A108" i="8"/>
  <c r="L107" i="8"/>
  <c r="K107" i="8"/>
  <c r="H107" i="8"/>
  <c r="G107" i="8"/>
  <c r="F107" i="8"/>
  <c r="E107" i="8"/>
  <c r="D107" i="8"/>
  <c r="C107" i="8"/>
  <c r="B107" i="8"/>
  <c r="A107" i="8"/>
  <c r="L106" i="8"/>
  <c r="K106" i="8"/>
  <c r="H106" i="8"/>
  <c r="G106" i="8"/>
  <c r="F106" i="8"/>
  <c r="E106" i="8"/>
  <c r="D106" i="8"/>
  <c r="C106" i="8"/>
  <c r="B106" i="8"/>
  <c r="A106" i="8"/>
  <c r="L105" i="8"/>
  <c r="K105" i="8"/>
  <c r="H105" i="8"/>
  <c r="G105" i="8"/>
  <c r="F105" i="8"/>
  <c r="E105" i="8"/>
  <c r="D105" i="8"/>
  <c r="C105" i="8"/>
  <c r="B105" i="8"/>
  <c r="A105" i="8"/>
  <c r="L104" i="8"/>
  <c r="K104" i="8"/>
  <c r="H104" i="8"/>
  <c r="G104" i="8"/>
  <c r="F104" i="8"/>
  <c r="E104" i="8"/>
  <c r="D104" i="8"/>
  <c r="C104" i="8"/>
  <c r="B104" i="8"/>
  <c r="A104" i="8"/>
  <c r="L103" i="8"/>
  <c r="K103" i="8"/>
  <c r="H103" i="8"/>
  <c r="G103" i="8"/>
  <c r="F103" i="8"/>
  <c r="E103" i="8"/>
  <c r="D103" i="8"/>
  <c r="C103" i="8"/>
  <c r="B103" i="8"/>
  <c r="A103" i="8"/>
  <c r="L102" i="8"/>
  <c r="K102" i="8"/>
  <c r="H102" i="8"/>
  <c r="G102" i="8"/>
  <c r="F102" i="8"/>
  <c r="E102" i="8"/>
  <c r="D102" i="8"/>
  <c r="C102" i="8"/>
  <c r="B102" i="8"/>
  <c r="A102" i="8"/>
  <c r="L101" i="8"/>
  <c r="K101" i="8"/>
  <c r="H101" i="8"/>
  <c r="G101" i="8"/>
  <c r="F101" i="8"/>
  <c r="E101" i="8"/>
  <c r="D101" i="8"/>
  <c r="C101" i="8"/>
  <c r="B101" i="8"/>
  <c r="A101" i="8"/>
  <c r="L100" i="8"/>
  <c r="K100" i="8"/>
  <c r="H100" i="8"/>
  <c r="G100" i="8"/>
  <c r="F100" i="8"/>
  <c r="E100" i="8"/>
  <c r="D100" i="8"/>
  <c r="C100" i="8"/>
  <c r="B100" i="8"/>
  <c r="A100" i="8"/>
  <c r="L99" i="8"/>
  <c r="K99" i="8"/>
  <c r="H99" i="8"/>
  <c r="G99" i="8"/>
  <c r="F99" i="8"/>
  <c r="E99" i="8"/>
  <c r="D99" i="8"/>
  <c r="C99" i="8"/>
  <c r="B99" i="8"/>
  <c r="A99" i="8"/>
  <c r="L98" i="8"/>
  <c r="K98" i="8"/>
  <c r="H98" i="8"/>
  <c r="G98" i="8"/>
  <c r="F98" i="8"/>
  <c r="E98" i="8"/>
  <c r="D98" i="8"/>
  <c r="C98" i="8"/>
  <c r="B98" i="8"/>
  <c r="A98" i="8"/>
  <c r="L97" i="8"/>
  <c r="K97" i="8"/>
  <c r="H97" i="8"/>
  <c r="G97" i="8"/>
  <c r="F97" i="8"/>
  <c r="E97" i="8"/>
  <c r="D97" i="8"/>
  <c r="C97" i="8"/>
  <c r="B97" i="8"/>
  <c r="A97" i="8"/>
  <c r="L96" i="8"/>
  <c r="K96" i="8"/>
  <c r="H96" i="8"/>
  <c r="G96" i="8"/>
  <c r="F96" i="8"/>
  <c r="E96" i="8"/>
  <c r="D96" i="8"/>
  <c r="C96" i="8"/>
  <c r="B96" i="8"/>
  <c r="A96" i="8"/>
  <c r="L95" i="8"/>
  <c r="K95" i="8"/>
  <c r="H95" i="8"/>
  <c r="G95" i="8"/>
  <c r="F95" i="8"/>
  <c r="E95" i="8"/>
  <c r="D95" i="8"/>
  <c r="C95" i="8"/>
  <c r="B95" i="8"/>
  <c r="A95" i="8"/>
  <c r="L94" i="8"/>
  <c r="K94" i="8"/>
  <c r="H94" i="8"/>
  <c r="G94" i="8"/>
  <c r="F94" i="8"/>
  <c r="E94" i="8"/>
  <c r="D94" i="8"/>
  <c r="C94" i="8"/>
  <c r="B94" i="8"/>
  <c r="A94" i="8"/>
  <c r="L93" i="8"/>
  <c r="K93" i="8"/>
  <c r="H93" i="8"/>
  <c r="G93" i="8"/>
  <c r="F93" i="8"/>
  <c r="E93" i="8"/>
  <c r="D93" i="8"/>
  <c r="C93" i="8"/>
  <c r="B93" i="8"/>
  <c r="A93" i="8"/>
  <c r="L92" i="8"/>
  <c r="K92" i="8"/>
  <c r="H92" i="8"/>
  <c r="G92" i="8"/>
  <c r="F92" i="8"/>
  <c r="E92" i="8"/>
  <c r="D92" i="8"/>
  <c r="C92" i="8"/>
  <c r="B92" i="8"/>
  <c r="A92" i="8"/>
  <c r="L91" i="8"/>
  <c r="K91" i="8"/>
  <c r="H91" i="8"/>
  <c r="G91" i="8"/>
  <c r="F91" i="8"/>
  <c r="E91" i="8"/>
  <c r="D91" i="8"/>
  <c r="C91" i="8"/>
  <c r="B91" i="8"/>
  <c r="A91" i="8"/>
  <c r="L90" i="8"/>
  <c r="K90" i="8"/>
  <c r="H90" i="8"/>
  <c r="G90" i="8"/>
  <c r="F90" i="8"/>
  <c r="E90" i="8"/>
  <c r="D90" i="8"/>
  <c r="C90" i="8"/>
  <c r="B90" i="8"/>
  <c r="A90" i="8"/>
  <c r="L89" i="8"/>
  <c r="K89" i="8"/>
  <c r="H89" i="8"/>
  <c r="G89" i="8"/>
  <c r="F89" i="8"/>
  <c r="E89" i="8"/>
  <c r="D89" i="8"/>
  <c r="C89" i="8"/>
  <c r="B89" i="8"/>
  <c r="A89" i="8"/>
  <c r="L88" i="8"/>
  <c r="K88" i="8"/>
  <c r="H88" i="8"/>
  <c r="G88" i="8"/>
  <c r="F88" i="8"/>
  <c r="E88" i="8"/>
  <c r="D88" i="8"/>
  <c r="C88" i="8"/>
  <c r="B88" i="8"/>
  <c r="A88" i="8"/>
  <c r="L87" i="8"/>
  <c r="K87" i="8"/>
  <c r="H87" i="8"/>
  <c r="G87" i="8"/>
  <c r="F87" i="8"/>
  <c r="E87" i="8"/>
  <c r="D87" i="8"/>
  <c r="C87" i="8"/>
  <c r="B87" i="8"/>
  <c r="A87" i="8"/>
  <c r="L86" i="8"/>
  <c r="K86" i="8"/>
  <c r="H86" i="8"/>
  <c r="G86" i="8"/>
  <c r="F86" i="8"/>
  <c r="E86" i="8"/>
  <c r="D86" i="8"/>
  <c r="C86" i="8"/>
  <c r="B86" i="8"/>
  <c r="A86" i="8"/>
  <c r="L85" i="8"/>
  <c r="K85" i="8"/>
  <c r="H85" i="8"/>
  <c r="G85" i="8"/>
  <c r="F85" i="8"/>
  <c r="E85" i="8"/>
  <c r="D85" i="8"/>
  <c r="C85" i="8"/>
  <c r="B85" i="8"/>
  <c r="A85" i="8"/>
  <c r="L84" i="8"/>
  <c r="K84" i="8"/>
  <c r="H84" i="8"/>
  <c r="G84" i="8"/>
  <c r="F84" i="8"/>
  <c r="E84" i="8"/>
  <c r="D84" i="8"/>
  <c r="C84" i="8"/>
  <c r="B84" i="8"/>
  <c r="A84" i="8"/>
  <c r="L83" i="8"/>
  <c r="K83" i="8"/>
  <c r="H83" i="8"/>
  <c r="G83" i="8"/>
  <c r="F83" i="8"/>
  <c r="E83" i="8"/>
  <c r="D83" i="8"/>
  <c r="C83" i="8"/>
  <c r="B83" i="8"/>
  <c r="A83" i="8"/>
  <c r="L82" i="8"/>
  <c r="K82" i="8"/>
  <c r="H82" i="8"/>
  <c r="G82" i="8"/>
  <c r="F82" i="8"/>
  <c r="E82" i="8"/>
  <c r="D82" i="8"/>
  <c r="C82" i="8"/>
  <c r="B82" i="8"/>
  <c r="A82" i="8"/>
  <c r="L81" i="8"/>
  <c r="K81" i="8"/>
  <c r="H81" i="8"/>
  <c r="G81" i="8"/>
  <c r="F81" i="8"/>
  <c r="E81" i="8"/>
  <c r="D81" i="8"/>
  <c r="C81" i="8"/>
  <c r="B81" i="8"/>
  <c r="A81" i="8"/>
  <c r="L80" i="8"/>
  <c r="K80" i="8"/>
  <c r="H80" i="8"/>
  <c r="G80" i="8"/>
  <c r="F80" i="8"/>
  <c r="E80" i="8"/>
  <c r="D80" i="8"/>
  <c r="C80" i="8"/>
  <c r="B80" i="8"/>
  <c r="A80" i="8"/>
  <c r="L79" i="8"/>
  <c r="K79" i="8"/>
  <c r="H79" i="8"/>
  <c r="G79" i="8"/>
  <c r="F79" i="8"/>
  <c r="E79" i="8"/>
  <c r="D79" i="8"/>
  <c r="C79" i="8"/>
  <c r="B79" i="8"/>
  <c r="A79" i="8"/>
  <c r="L78" i="8"/>
  <c r="K78" i="8"/>
  <c r="H78" i="8"/>
  <c r="G78" i="8"/>
  <c r="F78" i="8"/>
  <c r="E78" i="8"/>
  <c r="D78" i="8"/>
  <c r="C78" i="8"/>
  <c r="B78" i="8"/>
  <c r="A78" i="8"/>
  <c r="L77" i="8"/>
  <c r="K77" i="8"/>
  <c r="H77" i="8"/>
  <c r="G77" i="8"/>
  <c r="F77" i="8"/>
  <c r="E77" i="8"/>
  <c r="D77" i="8"/>
  <c r="C77" i="8"/>
  <c r="B77" i="8"/>
  <c r="A77" i="8"/>
  <c r="L76" i="8"/>
  <c r="K76" i="8"/>
  <c r="H76" i="8"/>
  <c r="G76" i="8"/>
  <c r="F76" i="8"/>
  <c r="E76" i="8"/>
  <c r="D76" i="8"/>
  <c r="C76" i="8"/>
  <c r="B76" i="8"/>
  <c r="A76" i="8"/>
  <c r="L75" i="8"/>
  <c r="K75" i="8"/>
  <c r="H75" i="8"/>
  <c r="G75" i="8"/>
  <c r="F75" i="8"/>
  <c r="E75" i="8"/>
  <c r="D75" i="8"/>
  <c r="C75" i="8"/>
  <c r="B75" i="8"/>
  <c r="A75" i="8"/>
  <c r="L74" i="8"/>
  <c r="K74" i="8"/>
  <c r="H74" i="8"/>
  <c r="G74" i="8"/>
  <c r="F74" i="8"/>
  <c r="E74" i="8"/>
  <c r="D74" i="8"/>
  <c r="C74" i="8"/>
  <c r="B74" i="8"/>
  <c r="A74" i="8"/>
  <c r="L73" i="8"/>
  <c r="K73" i="8"/>
  <c r="H73" i="8"/>
  <c r="G73" i="8"/>
  <c r="F73" i="8"/>
  <c r="E73" i="8"/>
  <c r="D73" i="8"/>
  <c r="C73" i="8"/>
  <c r="B73" i="8"/>
  <c r="A73" i="8"/>
  <c r="L72" i="8"/>
  <c r="K72" i="8"/>
  <c r="H72" i="8"/>
  <c r="G72" i="8"/>
  <c r="F72" i="8"/>
  <c r="E72" i="8"/>
  <c r="D72" i="8"/>
  <c r="C72" i="8"/>
  <c r="B72" i="8"/>
  <c r="A72" i="8"/>
  <c r="L71" i="8"/>
  <c r="K71" i="8"/>
  <c r="H71" i="8"/>
  <c r="G71" i="8"/>
  <c r="F71" i="8"/>
  <c r="E71" i="8"/>
  <c r="D71" i="8"/>
  <c r="C71" i="8"/>
  <c r="B71" i="8"/>
  <c r="A71" i="8"/>
  <c r="L70" i="8"/>
  <c r="K70" i="8"/>
  <c r="H70" i="8"/>
  <c r="G70" i="8"/>
  <c r="F70" i="8"/>
  <c r="E70" i="8"/>
  <c r="D70" i="8"/>
  <c r="C70" i="8"/>
  <c r="B70" i="8"/>
  <c r="A70" i="8"/>
  <c r="L69" i="8"/>
  <c r="K69" i="8"/>
  <c r="H69" i="8"/>
  <c r="G69" i="8"/>
  <c r="F69" i="8"/>
  <c r="E69" i="8"/>
  <c r="D69" i="8"/>
  <c r="C69" i="8"/>
  <c r="B69" i="8"/>
  <c r="A69" i="8"/>
  <c r="L68" i="8"/>
  <c r="K68" i="8"/>
  <c r="H68" i="8"/>
  <c r="G68" i="8"/>
  <c r="F68" i="8"/>
  <c r="E68" i="8"/>
  <c r="D68" i="8"/>
  <c r="C68" i="8"/>
  <c r="B68" i="8"/>
  <c r="A68" i="8"/>
  <c r="L67" i="8"/>
  <c r="K67" i="8"/>
  <c r="H67" i="8"/>
  <c r="G67" i="8"/>
  <c r="F67" i="8"/>
  <c r="E67" i="8"/>
  <c r="D67" i="8"/>
  <c r="C67" i="8"/>
  <c r="B67" i="8"/>
  <c r="A67" i="8"/>
  <c r="L66" i="8"/>
  <c r="K66" i="8"/>
  <c r="H66" i="8"/>
  <c r="G66" i="8"/>
  <c r="F66" i="8"/>
  <c r="E66" i="8"/>
  <c r="D66" i="8"/>
  <c r="C66" i="8"/>
  <c r="B66" i="8"/>
  <c r="A66" i="8"/>
  <c r="L65" i="8"/>
  <c r="K65" i="8"/>
  <c r="H65" i="8"/>
  <c r="G65" i="8"/>
  <c r="F65" i="8"/>
  <c r="E65" i="8"/>
  <c r="D65" i="8"/>
  <c r="C65" i="8"/>
  <c r="B65" i="8"/>
  <c r="A65" i="8"/>
  <c r="L64" i="8"/>
  <c r="K64" i="8"/>
  <c r="H64" i="8"/>
  <c r="G64" i="8"/>
  <c r="F64" i="8"/>
  <c r="E64" i="8"/>
  <c r="D64" i="8"/>
  <c r="C64" i="8"/>
  <c r="B64" i="8"/>
  <c r="A64" i="8"/>
  <c r="L63" i="8"/>
  <c r="K63" i="8"/>
  <c r="H63" i="8"/>
  <c r="G63" i="8"/>
  <c r="F63" i="8"/>
  <c r="E63" i="8"/>
  <c r="D63" i="8"/>
  <c r="C63" i="8"/>
  <c r="B63" i="8"/>
  <c r="A63" i="8"/>
  <c r="L62" i="8"/>
  <c r="K62" i="8"/>
  <c r="H62" i="8"/>
  <c r="G62" i="8"/>
  <c r="F62" i="8"/>
  <c r="E62" i="8"/>
  <c r="D62" i="8"/>
  <c r="C62" i="8"/>
  <c r="B62" i="8"/>
  <c r="A62" i="8"/>
  <c r="L61" i="8"/>
  <c r="K61" i="8"/>
  <c r="H61" i="8"/>
  <c r="G61" i="8"/>
  <c r="F61" i="8"/>
  <c r="E61" i="8"/>
  <c r="D61" i="8"/>
  <c r="C61" i="8"/>
  <c r="B61" i="8"/>
  <c r="A61" i="8"/>
  <c r="L60" i="8"/>
  <c r="K60" i="8"/>
  <c r="H60" i="8"/>
  <c r="G60" i="8"/>
  <c r="F60" i="8"/>
  <c r="E60" i="8"/>
  <c r="D60" i="8"/>
  <c r="C60" i="8"/>
  <c r="B60" i="8"/>
  <c r="A60" i="8"/>
  <c r="L59" i="8"/>
  <c r="K59" i="8"/>
  <c r="H59" i="8"/>
  <c r="G59" i="8"/>
  <c r="F59" i="8"/>
  <c r="E59" i="8"/>
  <c r="D59" i="8"/>
  <c r="C59" i="8"/>
  <c r="B59" i="8"/>
  <c r="A59" i="8"/>
  <c r="L58" i="8"/>
  <c r="K58" i="8"/>
  <c r="H58" i="8"/>
  <c r="G58" i="8"/>
  <c r="F58" i="8"/>
  <c r="E58" i="8"/>
  <c r="D58" i="8"/>
  <c r="C58" i="8"/>
  <c r="B58" i="8"/>
  <c r="A58" i="8"/>
  <c r="L57" i="8"/>
  <c r="K57" i="8"/>
  <c r="H57" i="8"/>
  <c r="G57" i="8"/>
  <c r="F57" i="8"/>
  <c r="E57" i="8"/>
  <c r="D57" i="8"/>
  <c r="C57" i="8"/>
  <c r="B57" i="8"/>
  <c r="A57" i="8"/>
  <c r="L56" i="8"/>
  <c r="K56" i="8"/>
  <c r="H56" i="8"/>
  <c r="G56" i="8"/>
  <c r="F56" i="8"/>
  <c r="E56" i="8"/>
  <c r="D56" i="8"/>
  <c r="C56" i="8"/>
  <c r="B56" i="8"/>
  <c r="A56" i="8"/>
  <c r="L55" i="8"/>
  <c r="K55" i="8"/>
  <c r="H55" i="8"/>
  <c r="G55" i="8"/>
  <c r="F55" i="8"/>
  <c r="E55" i="8"/>
  <c r="D55" i="8"/>
  <c r="C55" i="8"/>
  <c r="B55" i="8"/>
  <c r="A55" i="8"/>
  <c r="L54" i="8"/>
  <c r="K54" i="8"/>
  <c r="H54" i="8"/>
  <c r="G54" i="8"/>
  <c r="F54" i="8"/>
  <c r="E54" i="8"/>
  <c r="D54" i="8"/>
  <c r="C54" i="8"/>
  <c r="B54" i="8"/>
  <c r="A54" i="8"/>
  <c r="L53" i="8"/>
  <c r="K53" i="8"/>
  <c r="H53" i="8"/>
  <c r="G53" i="8"/>
  <c r="F53" i="8"/>
  <c r="E53" i="8"/>
  <c r="D53" i="8"/>
  <c r="C53" i="8"/>
  <c r="B53" i="8"/>
  <c r="A53" i="8"/>
  <c r="L52" i="8"/>
  <c r="K52" i="8"/>
  <c r="H52" i="8"/>
  <c r="G52" i="8"/>
  <c r="F52" i="8"/>
  <c r="E52" i="8"/>
  <c r="D52" i="8"/>
  <c r="C52" i="8"/>
  <c r="B52" i="8"/>
  <c r="A52" i="8"/>
  <c r="L51" i="8"/>
  <c r="K51" i="8"/>
  <c r="H51" i="8"/>
  <c r="G51" i="8"/>
  <c r="F51" i="8"/>
  <c r="E51" i="8"/>
  <c r="D51" i="8"/>
  <c r="C51" i="8"/>
  <c r="B51" i="8"/>
  <c r="A51" i="8"/>
  <c r="L50" i="8"/>
  <c r="K50" i="8"/>
  <c r="H50" i="8"/>
  <c r="G50" i="8"/>
  <c r="F50" i="8"/>
  <c r="E50" i="8"/>
  <c r="D50" i="8"/>
  <c r="C50" i="8"/>
  <c r="B50" i="8"/>
  <c r="A50" i="8"/>
  <c r="L49" i="8"/>
  <c r="K49" i="8"/>
  <c r="H49" i="8"/>
  <c r="G49" i="8"/>
  <c r="F49" i="8"/>
  <c r="E49" i="8"/>
  <c r="D49" i="8"/>
  <c r="C49" i="8"/>
  <c r="B49" i="8"/>
  <c r="A49" i="8"/>
  <c r="L48" i="8"/>
  <c r="K48" i="8"/>
  <c r="H48" i="8"/>
  <c r="G48" i="8"/>
  <c r="F48" i="8"/>
  <c r="E48" i="8"/>
  <c r="D48" i="8"/>
  <c r="C48" i="8"/>
  <c r="B48" i="8"/>
  <c r="A48" i="8"/>
  <c r="L47" i="8"/>
  <c r="K47" i="8"/>
  <c r="H47" i="8"/>
  <c r="G47" i="8"/>
  <c r="F47" i="8"/>
  <c r="E47" i="8"/>
  <c r="D47" i="8"/>
  <c r="C47" i="8"/>
  <c r="B47" i="8"/>
  <c r="A47" i="8"/>
  <c r="L46" i="8"/>
  <c r="K46" i="8"/>
  <c r="H46" i="8"/>
  <c r="G46" i="8"/>
  <c r="F46" i="8"/>
  <c r="E46" i="8"/>
  <c r="D46" i="8"/>
  <c r="C46" i="8"/>
  <c r="B46" i="8"/>
  <c r="A46" i="8"/>
  <c r="L45" i="8"/>
  <c r="K45" i="8"/>
  <c r="H45" i="8"/>
  <c r="G45" i="8"/>
  <c r="F45" i="8"/>
  <c r="E45" i="8"/>
  <c r="D45" i="8"/>
  <c r="C45" i="8"/>
  <c r="B45" i="8"/>
  <c r="A45" i="8"/>
  <c r="L44" i="8"/>
  <c r="K44" i="8"/>
  <c r="H44" i="8"/>
  <c r="G44" i="8"/>
  <c r="F44" i="8"/>
  <c r="E44" i="8"/>
  <c r="D44" i="8"/>
  <c r="C44" i="8"/>
  <c r="B44" i="8"/>
  <c r="A44" i="8"/>
  <c r="L43" i="8"/>
  <c r="K43" i="8"/>
  <c r="H43" i="8"/>
  <c r="G43" i="8"/>
  <c r="F43" i="8"/>
  <c r="E43" i="8"/>
  <c r="D43" i="8"/>
  <c r="C43" i="8"/>
  <c r="B43" i="8"/>
  <c r="A43" i="8"/>
  <c r="L42" i="8"/>
  <c r="K42" i="8"/>
  <c r="H42" i="8"/>
  <c r="G42" i="8"/>
  <c r="F42" i="8"/>
  <c r="E42" i="8"/>
  <c r="D42" i="8"/>
  <c r="C42" i="8"/>
  <c r="B42" i="8"/>
  <c r="A42" i="8"/>
  <c r="L41" i="8"/>
  <c r="K41" i="8"/>
  <c r="H41" i="8"/>
  <c r="G41" i="8"/>
  <c r="F41" i="8"/>
  <c r="E41" i="8"/>
  <c r="D41" i="8"/>
  <c r="C41" i="8"/>
  <c r="B41" i="8"/>
  <c r="A41" i="8"/>
  <c r="L40" i="8"/>
  <c r="K40" i="8"/>
  <c r="H40" i="8"/>
  <c r="G40" i="8"/>
  <c r="F40" i="8"/>
  <c r="E40" i="8"/>
  <c r="D40" i="8"/>
  <c r="C40" i="8"/>
  <c r="B40" i="8"/>
  <c r="A40" i="8"/>
  <c r="L39" i="8"/>
  <c r="K39" i="8"/>
  <c r="H39" i="8"/>
  <c r="G39" i="8"/>
  <c r="F39" i="8"/>
  <c r="E39" i="8"/>
  <c r="D39" i="8"/>
  <c r="C39" i="8"/>
  <c r="B39" i="8"/>
  <c r="A39" i="8"/>
  <c r="L38" i="8"/>
  <c r="K38" i="8"/>
  <c r="H38" i="8"/>
  <c r="G38" i="8"/>
  <c r="F38" i="8"/>
  <c r="E38" i="8"/>
  <c r="D38" i="8"/>
  <c r="C38" i="8"/>
  <c r="B38" i="8"/>
  <c r="A38" i="8"/>
  <c r="L37" i="8"/>
  <c r="K37" i="8"/>
  <c r="H37" i="8"/>
  <c r="G37" i="8"/>
  <c r="F37" i="8"/>
  <c r="E37" i="8"/>
  <c r="D37" i="8"/>
  <c r="C37" i="8"/>
  <c r="B37" i="8"/>
  <c r="A37" i="8"/>
  <c r="L36" i="8"/>
  <c r="K36" i="8"/>
  <c r="H36" i="8"/>
  <c r="G36" i="8"/>
  <c r="F36" i="8"/>
  <c r="E36" i="8"/>
  <c r="D36" i="8"/>
  <c r="C36" i="8"/>
  <c r="B36" i="8"/>
  <c r="A36" i="8"/>
  <c r="L35" i="8"/>
  <c r="K35" i="8"/>
  <c r="H35" i="8"/>
  <c r="G35" i="8"/>
  <c r="F35" i="8"/>
  <c r="E35" i="8"/>
  <c r="D35" i="8"/>
  <c r="C35" i="8"/>
  <c r="B35" i="8"/>
  <c r="A35" i="8"/>
  <c r="L34" i="8"/>
  <c r="K34" i="8"/>
  <c r="H34" i="8"/>
  <c r="G34" i="8"/>
  <c r="F34" i="8"/>
  <c r="E34" i="8"/>
  <c r="D34" i="8"/>
  <c r="C34" i="8"/>
  <c r="B34" i="8"/>
  <c r="A34" i="8"/>
  <c r="L33" i="8"/>
  <c r="K33" i="8"/>
  <c r="H33" i="8"/>
  <c r="G33" i="8"/>
  <c r="F33" i="8"/>
  <c r="E33" i="8"/>
  <c r="D33" i="8"/>
  <c r="C33" i="8"/>
  <c r="B33" i="8"/>
  <c r="A33" i="8"/>
  <c r="L32" i="8"/>
  <c r="K32" i="8"/>
  <c r="H32" i="8"/>
  <c r="G32" i="8"/>
  <c r="F32" i="8"/>
  <c r="E32" i="8"/>
  <c r="D32" i="8"/>
  <c r="C32" i="8"/>
  <c r="B32" i="8"/>
  <c r="A32" i="8"/>
  <c r="L31" i="8"/>
  <c r="K31" i="8"/>
  <c r="H31" i="8"/>
  <c r="G31" i="8"/>
  <c r="F31" i="8"/>
  <c r="E31" i="8"/>
  <c r="D31" i="8"/>
  <c r="C31" i="8"/>
  <c r="B31" i="8"/>
  <c r="A31" i="8"/>
  <c r="L30" i="8"/>
  <c r="K30" i="8"/>
  <c r="H30" i="8"/>
  <c r="G30" i="8"/>
  <c r="F30" i="8"/>
  <c r="E30" i="8"/>
  <c r="D30" i="8"/>
  <c r="C30" i="8"/>
  <c r="B30" i="8"/>
  <c r="A30" i="8"/>
  <c r="L29" i="8"/>
  <c r="K29" i="8"/>
  <c r="H29" i="8"/>
  <c r="G29" i="8"/>
  <c r="F29" i="8"/>
  <c r="E29" i="8"/>
  <c r="D29" i="8"/>
  <c r="C29" i="8"/>
  <c r="B29" i="8"/>
  <c r="A29" i="8"/>
  <c r="L28" i="8"/>
  <c r="K28" i="8"/>
  <c r="H28" i="8"/>
  <c r="G28" i="8"/>
  <c r="F28" i="8"/>
  <c r="E28" i="8"/>
  <c r="D28" i="8"/>
  <c r="C28" i="8"/>
  <c r="B28" i="8"/>
  <c r="A28" i="8"/>
  <c r="L27" i="8"/>
  <c r="K27" i="8"/>
  <c r="H27" i="8"/>
  <c r="G27" i="8"/>
  <c r="F27" i="8"/>
  <c r="E27" i="8"/>
  <c r="D27" i="8"/>
  <c r="C27" i="8"/>
  <c r="B27" i="8"/>
  <c r="A27" i="8"/>
  <c r="L26" i="8"/>
  <c r="K26" i="8"/>
  <c r="H26" i="8"/>
  <c r="G26" i="8"/>
  <c r="F26" i="8"/>
  <c r="E26" i="8"/>
  <c r="D26" i="8"/>
  <c r="C26" i="8"/>
  <c r="B26" i="8"/>
  <c r="A26" i="8"/>
  <c r="L25" i="8"/>
  <c r="K25" i="8"/>
  <c r="H25" i="8"/>
  <c r="G25" i="8"/>
  <c r="F25" i="8"/>
  <c r="E25" i="8"/>
  <c r="D25" i="8"/>
  <c r="C25" i="8"/>
  <c r="B25" i="8"/>
  <c r="A25" i="8"/>
  <c r="L24" i="8"/>
  <c r="K24" i="8"/>
  <c r="H24" i="8"/>
  <c r="G24" i="8"/>
  <c r="F24" i="8"/>
  <c r="E24" i="8"/>
  <c r="D24" i="8"/>
  <c r="C24" i="8"/>
  <c r="B24" i="8"/>
  <c r="A24" i="8"/>
  <c r="L23" i="8"/>
  <c r="K23" i="8"/>
  <c r="H23" i="8"/>
  <c r="G23" i="8"/>
  <c r="F23" i="8"/>
  <c r="E23" i="8"/>
  <c r="D23" i="8"/>
  <c r="C23" i="8"/>
  <c r="B23" i="8"/>
  <c r="A23" i="8"/>
  <c r="L22" i="8"/>
  <c r="K22" i="8"/>
  <c r="H22" i="8"/>
  <c r="G22" i="8"/>
  <c r="F22" i="8"/>
  <c r="E22" i="8"/>
  <c r="D22" i="8"/>
  <c r="C22" i="8"/>
  <c r="B22" i="8"/>
  <c r="A22" i="8"/>
  <c r="L21" i="8"/>
  <c r="K21" i="8"/>
  <c r="H21" i="8"/>
  <c r="G21" i="8"/>
  <c r="F21" i="8"/>
  <c r="E21" i="8"/>
  <c r="D21" i="8"/>
  <c r="C21" i="8"/>
  <c r="B21" i="8"/>
  <c r="A21" i="8"/>
  <c r="L20" i="8"/>
  <c r="K20" i="8"/>
  <c r="H20" i="8"/>
  <c r="G20" i="8"/>
  <c r="F20" i="8"/>
  <c r="E20" i="8"/>
  <c r="D20" i="8"/>
  <c r="C20" i="8"/>
  <c r="B20" i="8"/>
  <c r="A20" i="8"/>
  <c r="L19" i="8"/>
  <c r="K19" i="8"/>
  <c r="H19" i="8"/>
  <c r="G19" i="8"/>
  <c r="F19" i="8"/>
  <c r="E19" i="8"/>
  <c r="D19" i="8"/>
  <c r="C19" i="8"/>
  <c r="B19" i="8"/>
  <c r="A19" i="8"/>
  <c r="L18" i="8"/>
  <c r="K18" i="8"/>
  <c r="H18" i="8"/>
  <c r="G18" i="8"/>
  <c r="F18" i="8"/>
  <c r="E18" i="8"/>
  <c r="D18" i="8"/>
  <c r="C18" i="8"/>
  <c r="B18" i="8"/>
  <c r="A18" i="8"/>
  <c r="L17" i="8"/>
  <c r="K17" i="8"/>
  <c r="H17" i="8"/>
  <c r="G17" i="8"/>
  <c r="F17" i="8"/>
  <c r="E17" i="8"/>
  <c r="D17" i="8"/>
  <c r="C17" i="8"/>
  <c r="B17" i="8"/>
  <c r="A17" i="8"/>
  <c r="L16" i="8"/>
  <c r="K16" i="8"/>
  <c r="H16" i="8"/>
  <c r="G16" i="8"/>
  <c r="F16" i="8"/>
  <c r="E16" i="8"/>
  <c r="D16" i="8"/>
  <c r="C16" i="8"/>
  <c r="B16" i="8"/>
  <c r="A16" i="8"/>
  <c r="L15" i="8"/>
  <c r="K15" i="8"/>
  <c r="H15" i="8"/>
  <c r="G15" i="8"/>
  <c r="F15" i="8"/>
  <c r="E15" i="8"/>
  <c r="D15" i="8"/>
  <c r="C15" i="8"/>
  <c r="B15" i="8"/>
  <c r="A15" i="8"/>
  <c r="L14" i="8"/>
  <c r="K14" i="8"/>
  <c r="H14" i="8"/>
  <c r="G14" i="8"/>
  <c r="F14" i="8"/>
  <c r="E14" i="8"/>
  <c r="D14" i="8"/>
  <c r="C14" i="8"/>
  <c r="B14" i="8"/>
  <c r="A14" i="8"/>
  <c r="L13" i="8"/>
  <c r="K13" i="8"/>
  <c r="H13" i="8"/>
  <c r="G13" i="8"/>
  <c r="F13" i="8"/>
  <c r="E13" i="8"/>
  <c r="D13" i="8"/>
  <c r="C13" i="8"/>
  <c r="B13" i="8"/>
  <c r="A13" i="8"/>
  <c r="L12" i="8"/>
  <c r="K12" i="8"/>
  <c r="H12" i="8"/>
  <c r="G12" i="8"/>
  <c r="F12" i="8"/>
  <c r="E12" i="8"/>
  <c r="D12" i="8"/>
  <c r="C12" i="8"/>
  <c r="B12" i="8"/>
  <c r="A12" i="8"/>
  <c r="L11" i="8"/>
  <c r="K11" i="8"/>
  <c r="H11" i="8"/>
  <c r="G11" i="8"/>
  <c r="F11" i="8"/>
  <c r="E11" i="8"/>
  <c r="D11" i="8"/>
  <c r="C11" i="8"/>
  <c r="B11" i="8"/>
  <c r="A11" i="8"/>
  <c r="L10" i="8"/>
  <c r="K10" i="8"/>
  <c r="H10" i="8"/>
  <c r="G10" i="8"/>
  <c r="F10" i="8"/>
  <c r="E10" i="8"/>
  <c r="D10" i="8"/>
  <c r="C10" i="8"/>
  <c r="B10" i="8"/>
  <c r="A10" i="8"/>
  <c r="L9" i="8"/>
  <c r="K9" i="8"/>
  <c r="H9" i="8"/>
  <c r="G9" i="8"/>
  <c r="F9" i="8"/>
  <c r="E9" i="8"/>
  <c r="D9" i="8"/>
  <c r="C9" i="8"/>
  <c r="B9" i="8"/>
  <c r="A9" i="8"/>
  <c r="L8" i="8"/>
  <c r="K8" i="8"/>
  <c r="H8" i="8"/>
  <c r="G8" i="8"/>
  <c r="F8" i="8"/>
  <c r="E8" i="8"/>
  <c r="D8" i="8"/>
  <c r="C8" i="8"/>
  <c r="B8" i="8"/>
  <c r="A8" i="8"/>
  <c r="K7" i="8"/>
  <c r="H7" i="8"/>
  <c r="G7" i="8"/>
  <c r="F7" i="8"/>
  <c r="E7" i="8"/>
  <c r="D7" i="8"/>
  <c r="C7" i="8"/>
  <c r="B7" i="8"/>
  <c r="A7" i="8"/>
  <c r="J2" i="8"/>
  <c r="D16" i="1" s="1"/>
  <c r="L110" i="7"/>
  <c r="K110" i="7"/>
  <c r="H110" i="7"/>
  <c r="G110" i="7"/>
  <c r="F110" i="7"/>
  <c r="E110" i="7"/>
  <c r="D110" i="7"/>
  <c r="C110" i="7"/>
  <c r="B110" i="7"/>
  <c r="A110" i="7"/>
  <c r="L109" i="7"/>
  <c r="K109" i="7"/>
  <c r="H109" i="7"/>
  <c r="G109" i="7"/>
  <c r="F109" i="7"/>
  <c r="E109" i="7"/>
  <c r="D109" i="7"/>
  <c r="C109" i="7"/>
  <c r="B109" i="7"/>
  <c r="A109" i="7"/>
  <c r="L108" i="7"/>
  <c r="K108" i="7"/>
  <c r="H108" i="7"/>
  <c r="G108" i="7"/>
  <c r="F108" i="7"/>
  <c r="E108" i="7"/>
  <c r="D108" i="7"/>
  <c r="C108" i="7"/>
  <c r="B108" i="7"/>
  <c r="A108" i="7"/>
  <c r="L107" i="7"/>
  <c r="K107" i="7"/>
  <c r="H107" i="7"/>
  <c r="G107" i="7"/>
  <c r="F107" i="7"/>
  <c r="E107" i="7"/>
  <c r="D107" i="7"/>
  <c r="C107" i="7"/>
  <c r="B107" i="7"/>
  <c r="A107" i="7"/>
  <c r="L106" i="7"/>
  <c r="K106" i="7"/>
  <c r="H106" i="7"/>
  <c r="G106" i="7"/>
  <c r="F106" i="7"/>
  <c r="E106" i="7"/>
  <c r="D106" i="7"/>
  <c r="C106" i="7"/>
  <c r="B106" i="7"/>
  <c r="A106" i="7"/>
  <c r="L105" i="7"/>
  <c r="K105" i="7"/>
  <c r="H105" i="7"/>
  <c r="G105" i="7"/>
  <c r="F105" i="7"/>
  <c r="E105" i="7"/>
  <c r="D105" i="7"/>
  <c r="C105" i="7"/>
  <c r="B105" i="7"/>
  <c r="A105" i="7"/>
  <c r="L104" i="7"/>
  <c r="K104" i="7"/>
  <c r="H104" i="7"/>
  <c r="G104" i="7"/>
  <c r="F104" i="7"/>
  <c r="E104" i="7"/>
  <c r="D104" i="7"/>
  <c r="C104" i="7"/>
  <c r="B104" i="7"/>
  <c r="A104" i="7"/>
  <c r="L103" i="7"/>
  <c r="K103" i="7"/>
  <c r="H103" i="7"/>
  <c r="G103" i="7"/>
  <c r="F103" i="7"/>
  <c r="E103" i="7"/>
  <c r="D103" i="7"/>
  <c r="C103" i="7"/>
  <c r="B103" i="7"/>
  <c r="A103" i="7"/>
  <c r="L102" i="7"/>
  <c r="K102" i="7"/>
  <c r="H102" i="7"/>
  <c r="G102" i="7"/>
  <c r="F102" i="7"/>
  <c r="E102" i="7"/>
  <c r="D102" i="7"/>
  <c r="C102" i="7"/>
  <c r="B102" i="7"/>
  <c r="A102" i="7"/>
  <c r="L101" i="7"/>
  <c r="K101" i="7"/>
  <c r="H101" i="7"/>
  <c r="G101" i="7"/>
  <c r="F101" i="7"/>
  <c r="E101" i="7"/>
  <c r="D101" i="7"/>
  <c r="C101" i="7"/>
  <c r="B101" i="7"/>
  <c r="A101" i="7"/>
  <c r="L100" i="7"/>
  <c r="K100" i="7"/>
  <c r="H100" i="7"/>
  <c r="G100" i="7"/>
  <c r="F100" i="7"/>
  <c r="E100" i="7"/>
  <c r="D100" i="7"/>
  <c r="C100" i="7"/>
  <c r="B100" i="7"/>
  <c r="A100" i="7"/>
  <c r="L99" i="7"/>
  <c r="K99" i="7"/>
  <c r="H99" i="7"/>
  <c r="G99" i="7"/>
  <c r="F99" i="7"/>
  <c r="E99" i="7"/>
  <c r="D99" i="7"/>
  <c r="C99" i="7"/>
  <c r="B99" i="7"/>
  <c r="A99" i="7"/>
  <c r="L98" i="7"/>
  <c r="K98" i="7"/>
  <c r="H98" i="7"/>
  <c r="G98" i="7"/>
  <c r="F98" i="7"/>
  <c r="E98" i="7"/>
  <c r="D98" i="7"/>
  <c r="C98" i="7"/>
  <c r="B98" i="7"/>
  <c r="A98" i="7"/>
  <c r="L97" i="7"/>
  <c r="K97" i="7"/>
  <c r="H97" i="7"/>
  <c r="G97" i="7"/>
  <c r="F97" i="7"/>
  <c r="E97" i="7"/>
  <c r="D97" i="7"/>
  <c r="C97" i="7"/>
  <c r="B97" i="7"/>
  <c r="A97" i="7"/>
  <c r="L96" i="7"/>
  <c r="K96" i="7"/>
  <c r="H96" i="7"/>
  <c r="G96" i="7"/>
  <c r="F96" i="7"/>
  <c r="E96" i="7"/>
  <c r="D96" i="7"/>
  <c r="C96" i="7"/>
  <c r="B96" i="7"/>
  <c r="A96" i="7"/>
  <c r="L95" i="7"/>
  <c r="K95" i="7"/>
  <c r="H95" i="7"/>
  <c r="G95" i="7"/>
  <c r="F95" i="7"/>
  <c r="E95" i="7"/>
  <c r="D95" i="7"/>
  <c r="C95" i="7"/>
  <c r="B95" i="7"/>
  <c r="A95" i="7"/>
  <c r="L94" i="7"/>
  <c r="K94" i="7"/>
  <c r="H94" i="7"/>
  <c r="G94" i="7"/>
  <c r="F94" i="7"/>
  <c r="E94" i="7"/>
  <c r="D94" i="7"/>
  <c r="C94" i="7"/>
  <c r="B94" i="7"/>
  <c r="A94" i="7"/>
  <c r="L93" i="7"/>
  <c r="K93" i="7"/>
  <c r="H93" i="7"/>
  <c r="G93" i="7"/>
  <c r="F93" i="7"/>
  <c r="E93" i="7"/>
  <c r="D93" i="7"/>
  <c r="C93" i="7"/>
  <c r="B93" i="7"/>
  <c r="A93" i="7"/>
  <c r="L92" i="7"/>
  <c r="K92" i="7"/>
  <c r="H92" i="7"/>
  <c r="G92" i="7"/>
  <c r="F92" i="7"/>
  <c r="E92" i="7"/>
  <c r="D92" i="7"/>
  <c r="C92" i="7"/>
  <c r="B92" i="7"/>
  <c r="A92" i="7"/>
  <c r="L91" i="7"/>
  <c r="K91" i="7"/>
  <c r="H91" i="7"/>
  <c r="G91" i="7"/>
  <c r="F91" i="7"/>
  <c r="E91" i="7"/>
  <c r="D91" i="7"/>
  <c r="C91" i="7"/>
  <c r="B91" i="7"/>
  <c r="A91" i="7"/>
  <c r="L90" i="7"/>
  <c r="K90" i="7"/>
  <c r="H90" i="7"/>
  <c r="G90" i="7"/>
  <c r="F90" i="7"/>
  <c r="E90" i="7"/>
  <c r="D90" i="7"/>
  <c r="C90" i="7"/>
  <c r="B90" i="7"/>
  <c r="A90" i="7"/>
  <c r="L89" i="7"/>
  <c r="K89" i="7"/>
  <c r="H89" i="7"/>
  <c r="G89" i="7"/>
  <c r="F89" i="7"/>
  <c r="E89" i="7"/>
  <c r="D89" i="7"/>
  <c r="C89" i="7"/>
  <c r="B89" i="7"/>
  <c r="A89" i="7"/>
  <c r="L88" i="7"/>
  <c r="K88" i="7"/>
  <c r="H88" i="7"/>
  <c r="G88" i="7"/>
  <c r="F88" i="7"/>
  <c r="E88" i="7"/>
  <c r="D88" i="7"/>
  <c r="C88" i="7"/>
  <c r="B88" i="7"/>
  <c r="A88" i="7"/>
  <c r="L87" i="7"/>
  <c r="K87" i="7"/>
  <c r="H87" i="7"/>
  <c r="G87" i="7"/>
  <c r="F87" i="7"/>
  <c r="E87" i="7"/>
  <c r="D87" i="7"/>
  <c r="C87" i="7"/>
  <c r="B87" i="7"/>
  <c r="A87" i="7"/>
  <c r="L86" i="7"/>
  <c r="K86" i="7"/>
  <c r="H86" i="7"/>
  <c r="G86" i="7"/>
  <c r="F86" i="7"/>
  <c r="E86" i="7"/>
  <c r="D86" i="7"/>
  <c r="C86" i="7"/>
  <c r="B86" i="7"/>
  <c r="A86" i="7"/>
  <c r="L85" i="7"/>
  <c r="K85" i="7"/>
  <c r="H85" i="7"/>
  <c r="G85" i="7"/>
  <c r="F85" i="7"/>
  <c r="E85" i="7"/>
  <c r="D85" i="7"/>
  <c r="C85" i="7"/>
  <c r="B85" i="7"/>
  <c r="A85" i="7"/>
  <c r="L84" i="7"/>
  <c r="K84" i="7"/>
  <c r="H84" i="7"/>
  <c r="G84" i="7"/>
  <c r="F84" i="7"/>
  <c r="E84" i="7"/>
  <c r="D84" i="7"/>
  <c r="C84" i="7"/>
  <c r="B84" i="7"/>
  <c r="A84" i="7"/>
  <c r="L83" i="7"/>
  <c r="K83" i="7"/>
  <c r="H83" i="7"/>
  <c r="G83" i="7"/>
  <c r="F83" i="7"/>
  <c r="E83" i="7"/>
  <c r="D83" i="7"/>
  <c r="C83" i="7"/>
  <c r="B83" i="7"/>
  <c r="A83" i="7"/>
  <c r="L82" i="7"/>
  <c r="K82" i="7"/>
  <c r="H82" i="7"/>
  <c r="G82" i="7"/>
  <c r="F82" i="7"/>
  <c r="E82" i="7"/>
  <c r="D82" i="7"/>
  <c r="C82" i="7"/>
  <c r="B82" i="7"/>
  <c r="A82" i="7"/>
  <c r="L81" i="7"/>
  <c r="K81" i="7"/>
  <c r="H81" i="7"/>
  <c r="G81" i="7"/>
  <c r="F81" i="7"/>
  <c r="E81" i="7"/>
  <c r="D81" i="7"/>
  <c r="C81" i="7"/>
  <c r="B81" i="7"/>
  <c r="A81" i="7"/>
  <c r="L80" i="7"/>
  <c r="K80" i="7"/>
  <c r="H80" i="7"/>
  <c r="G80" i="7"/>
  <c r="F80" i="7"/>
  <c r="E80" i="7"/>
  <c r="D80" i="7"/>
  <c r="C80" i="7"/>
  <c r="B80" i="7"/>
  <c r="A80" i="7"/>
  <c r="L79" i="7"/>
  <c r="K79" i="7"/>
  <c r="H79" i="7"/>
  <c r="G79" i="7"/>
  <c r="F79" i="7"/>
  <c r="E79" i="7"/>
  <c r="D79" i="7"/>
  <c r="C79" i="7"/>
  <c r="B79" i="7"/>
  <c r="A79" i="7"/>
  <c r="L78" i="7"/>
  <c r="K78" i="7"/>
  <c r="H78" i="7"/>
  <c r="G78" i="7"/>
  <c r="F78" i="7"/>
  <c r="E78" i="7"/>
  <c r="D78" i="7"/>
  <c r="C78" i="7"/>
  <c r="B78" i="7"/>
  <c r="A78" i="7"/>
  <c r="L77" i="7"/>
  <c r="K77" i="7"/>
  <c r="H77" i="7"/>
  <c r="G77" i="7"/>
  <c r="F77" i="7"/>
  <c r="E77" i="7"/>
  <c r="D77" i="7"/>
  <c r="C77" i="7"/>
  <c r="B77" i="7"/>
  <c r="A77" i="7"/>
  <c r="L76" i="7"/>
  <c r="K76" i="7"/>
  <c r="H76" i="7"/>
  <c r="G76" i="7"/>
  <c r="F76" i="7"/>
  <c r="E76" i="7"/>
  <c r="D76" i="7"/>
  <c r="C76" i="7"/>
  <c r="B76" i="7"/>
  <c r="A76" i="7"/>
  <c r="L75" i="7"/>
  <c r="K75" i="7"/>
  <c r="H75" i="7"/>
  <c r="G75" i="7"/>
  <c r="F75" i="7"/>
  <c r="E75" i="7"/>
  <c r="D75" i="7"/>
  <c r="C75" i="7"/>
  <c r="B75" i="7"/>
  <c r="A75" i="7"/>
  <c r="L74" i="7"/>
  <c r="K74" i="7"/>
  <c r="H74" i="7"/>
  <c r="G74" i="7"/>
  <c r="F74" i="7"/>
  <c r="E74" i="7"/>
  <c r="D74" i="7"/>
  <c r="C74" i="7"/>
  <c r="B74" i="7"/>
  <c r="A74" i="7"/>
  <c r="L73" i="7"/>
  <c r="K73" i="7"/>
  <c r="H73" i="7"/>
  <c r="G73" i="7"/>
  <c r="F73" i="7"/>
  <c r="E73" i="7"/>
  <c r="D73" i="7"/>
  <c r="C73" i="7"/>
  <c r="B73" i="7"/>
  <c r="A73" i="7"/>
  <c r="L72" i="7"/>
  <c r="K72" i="7"/>
  <c r="H72" i="7"/>
  <c r="G72" i="7"/>
  <c r="F72" i="7"/>
  <c r="E72" i="7"/>
  <c r="D72" i="7"/>
  <c r="C72" i="7"/>
  <c r="B72" i="7"/>
  <c r="A72" i="7"/>
  <c r="L71" i="7"/>
  <c r="K71" i="7"/>
  <c r="H71" i="7"/>
  <c r="G71" i="7"/>
  <c r="F71" i="7"/>
  <c r="E71" i="7"/>
  <c r="D71" i="7"/>
  <c r="C71" i="7"/>
  <c r="B71" i="7"/>
  <c r="A71" i="7"/>
  <c r="L70" i="7"/>
  <c r="K70" i="7"/>
  <c r="H70" i="7"/>
  <c r="G70" i="7"/>
  <c r="F70" i="7"/>
  <c r="E70" i="7"/>
  <c r="D70" i="7"/>
  <c r="C70" i="7"/>
  <c r="B70" i="7"/>
  <c r="A70" i="7"/>
  <c r="L69" i="7"/>
  <c r="K69" i="7"/>
  <c r="H69" i="7"/>
  <c r="G69" i="7"/>
  <c r="F69" i="7"/>
  <c r="E69" i="7"/>
  <c r="D69" i="7"/>
  <c r="C69" i="7"/>
  <c r="B69" i="7"/>
  <c r="A69" i="7"/>
  <c r="L68" i="7"/>
  <c r="K68" i="7"/>
  <c r="H68" i="7"/>
  <c r="G68" i="7"/>
  <c r="F68" i="7"/>
  <c r="E68" i="7"/>
  <c r="D68" i="7"/>
  <c r="C68" i="7"/>
  <c r="B68" i="7"/>
  <c r="A68" i="7"/>
  <c r="L67" i="7"/>
  <c r="K67" i="7"/>
  <c r="H67" i="7"/>
  <c r="G67" i="7"/>
  <c r="F67" i="7"/>
  <c r="E67" i="7"/>
  <c r="D67" i="7"/>
  <c r="C67" i="7"/>
  <c r="B67" i="7"/>
  <c r="A67" i="7"/>
  <c r="L66" i="7"/>
  <c r="K66" i="7"/>
  <c r="H66" i="7"/>
  <c r="G66" i="7"/>
  <c r="F66" i="7"/>
  <c r="E66" i="7"/>
  <c r="D66" i="7"/>
  <c r="C66" i="7"/>
  <c r="B66" i="7"/>
  <c r="A66" i="7"/>
  <c r="L65" i="7"/>
  <c r="K65" i="7"/>
  <c r="H65" i="7"/>
  <c r="G65" i="7"/>
  <c r="F65" i="7"/>
  <c r="E65" i="7"/>
  <c r="D65" i="7"/>
  <c r="C65" i="7"/>
  <c r="B65" i="7"/>
  <c r="A65" i="7"/>
  <c r="L64" i="7"/>
  <c r="K64" i="7"/>
  <c r="H64" i="7"/>
  <c r="G64" i="7"/>
  <c r="F64" i="7"/>
  <c r="E64" i="7"/>
  <c r="D64" i="7"/>
  <c r="C64" i="7"/>
  <c r="B64" i="7"/>
  <c r="A64" i="7"/>
  <c r="L63" i="7"/>
  <c r="K63" i="7"/>
  <c r="H63" i="7"/>
  <c r="G63" i="7"/>
  <c r="F63" i="7"/>
  <c r="E63" i="7"/>
  <c r="D63" i="7"/>
  <c r="C63" i="7"/>
  <c r="B63" i="7"/>
  <c r="A63" i="7"/>
  <c r="L62" i="7"/>
  <c r="K62" i="7"/>
  <c r="H62" i="7"/>
  <c r="G62" i="7"/>
  <c r="F62" i="7"/>
  <c r="E62" i="7"/>
  <c r="D62" i="7"/>
  <c r="C62" i="7"/>
  <c r="B62" i="7"/>
  <c r="A62" i="7"/>
  <c r="L61" i="7"/>
  <c r="K61" i="7"/>
  <c r="H61" i="7"/>
  <c r="G61" i="7"/>
  <c r="F61" i="7"/>
  <c r="E61" i="7"/>
  <c r="D61" i="7"/>
  <c r="C61" i="7"/>
  <c r="B61" i="7"/>
  <c r="A61" i="7"/>
  <c r="L60" i="7"/>
  <c r="K60" i="7"/>
  <c r="H60" i="7"/>
  <c r="G60" i="7"/>
  <c r="F60" i="7"/>
  <c r="E60" i="7"/>
  <c r="D60" i="7"/>
  <c r="C60" i="7"/>
  <c r="B60" i="7"/>
  <c r="A60" i="7"/>
  <c r="L59" i="7"/>
  <c r="K59" i="7"/>
  <c r="H59" i="7"/>
  <c r="G59" i="7"/>
  <c r="F59" i="7"/>
  <c r="E59" i="7"/>
  <c r="D59" i="7"/>
  <c r="C59" i="7"/>
  <c r="B59" i="7"/>
  <c r="A59" i="7"/>
  <c r="L58" i="7"/>
  <c r="K58" i="7"/>
  <c r="H58" i="7"/>
  <c r="G58" i="7"/>
  <c r="F58" i="7"/>
  <c r="E58" i="7"/>
  <c r="D58" i="7"/>
  <c r="C58" i="7"/>
  <c r="B58" i="7"/>
  <c r="A58" i="7"/>
  <c r="L57" i="7"/>
  <c r="K57" i="7"/>
  <c r="H57" i="7"/>
  <c r="G57" i="7"/>
  <c r="F57" i="7"/>
  <c r="E57" i="7"/>
  <c r="D57" i="7"/>
  <c r="C57" i="7"/>
  <c r="B57" i="7"/>
  <c r="A57" i="7"/>
  <c r="L56" i="7"/>
  <c r="K56" i="7"/>
  <c r="H56" i="7"/>
  <c r="G56" i="7"/>
  <c r="F56" i="7"/>
  <c r="E56" i="7"/>
  <c r="D56" i="7"/>
  <c r="C56" i="7"/>
  <c r="B56" i="7"/>
  <c r="A56" i="7"/>
  <c r="L55" i="7"/>
  <c r="K55" i="7"/>
  <c r="H55" i="7"/>
  <c r="G55" i="7"/>
  <c r="F55" i="7"/>
  <c r="E55" i="7"/>
  <c r="D55" i="7"/>
  <c r="C55" i="7"/>
  <c r="B55" i="7"/>
  <c r="A55" i="7"/>
  <c r="L54" i="7"/>
  <c r="K54" i="7"/>
  <c r="H54" i="7"/>
  <c r="G54" i="7"/>
  <c r="F54" i="7"/>
  <c r="E54" i="7"/>
  <c r="D54" i="7"/>
  <c r="C54" i="7"/>
  <c r="B54" i="7"/>
  <c r="A54" i="7"/>
  <c r="L53" i="7"/>
  <c r="K53" i="7"/>
  <c r="H53" i="7"/>
  <c r="G53" i="7"/>
  <c r="F53" i="7"/>
  <c r="E53" i="7"/>
  <c r="D53" i="7"/>
  <c r="C53" i="7"/>
  <c r="B53" i="7"/>
  <c r="A53" i="7"/>
  <c r="L52" i="7"/>
  <c r="K52" i="7"/>
  <c r="H52" i="7"/>
  <c r="G52" i="7"/>
  <c r="F52" i="7"/>
  <c r="E52" i="7"/>
  <c r="D52" i="7"/>
  <c r="C52" i="7"/>
  <c r="B52" i="7"/>
  <c r="A52" i="7"/>
  <c r="L51" i="7"/>
  <c r="K51" i="7"/>
  <c r="H51" i="7"/>
  <c r="G51" i="7"/>
  <c r="F51" i="7"/>
  <c r="E51" i="7"/>
  <c r="D51" i="7"/>
  <c r="C51" i="7"/>
  <c r="B51" i="7"/>
  <c r="A51" i="7"/>
  <c r="L50" i="7"/>
  <c r="K50" i="7"/>
  <c r="H50" i="7"/>
  <c r="G50" i="7"/>
  <c r="F50" i="7"/>
  <c r="E50" i="7"/>
  <c r="D50" i="7"/>
  <c r="C50" i="7"/>
  <c r="B50" i="7"/>
  <c r="A50" i="7"/>
  <c r="L49" i="7"/>
  <c r="K49" i="7"/>
  <c r="H49" i="7"/>
  <c r="G49" i="7"/>
  <c r="F49" i="7"/>
  <c r="E49" i="7"/>
  <c r="D49" i="7"/>
  <c r="C49" i="7"/>
  <c r="B49" i="7"/>
  <c r="A49" i="7"/>
  <c r="L48" i="7"/>
  <c r="K48" i="7"/>
  <c r="H48" i="7"/>
  <c r="G48" i="7"/>
  <c r="F48" i="7"/>
  <c r="E48" i="7"/>
  <c r="D48" i="7"/>
  <c r="C48" i="7"/>
  <c r="B48" i="7"/>
  <c r="A48" i="7"/>
  <c r="L47" i="7"/>
  <c r="K47" i="7"/>
  <c r="H47" i="7"/>
  <c r="G47" i="7"/>
  <c r="F47" i="7"/>
  <c r="E47" i="7"/>
  <c r="D47" i="7"/>
  <c r="C47" i="7"/>
  <c r="B47" i="7"/>
  <c r="A47" i="7"/>
  <c r="L46" i="7"/>
  <c r="K46" i="7"/>
  <c r="H46" i="7"/>
  <c r="G46" i="7"/>
  <c r="F46" i="7"/>
  <c r="E46" i="7"/>
  <c r="D46" i="7"/>
  <c r="C46" i="7"/>
  <c r="B46" i="7"/>
  <c r="A46" i="7"/>
  <c r="L45" i="7"/>
  <c r="K45" i="7"/>
  <c r="H45" i="7"/>
  <c r="G45" i="7"/>
  <c r="F45" i="7"/>
  <c r="E45" i="7"/>
  <c r="D45" i="7"/>
  <c r="C45" i="7"/>
  <c r="B45" i="7"/>
  <c r="A45" i="7"/>
  <c r="L44" i="7"/>
  <c r="K44" i="7"/>
  <c r="H44" i="7"/>
  <c r="G44" i="7"/>
  <c r="F44" i="7"/>
  <c r="E44" i="7"/>
  <c r="D44" i="7"/>
  <c r="C44" i="7"/>
  <c r="B44" i="7"/>
  <c r="A44" i="7"/>
  <c r="L43" i="7"/>
  <c r="K43" i="7"/>
  <c r="H43" i="7"/>
  <c r="G43" i="7"/>
  <c r="F43" i="7"/>
  <c r="E43" i="7"/>
  <c r="D43" i="7"/>
  <c r="C43" i="7"/>
  <c r="B43" i="7"/>
  <c r="A43" i="7"/>
  <c r="L42" i="7"/>
  <c r="K42" i="7"/>
  <c r="H42" i="7"/>
  <c r="G42" i="7"/>
  <c r="F42" i="7"/>
  <c r="E42" i="7"/>
  <c r="D42" i="7"/>
  <c r="C42" i="7"/>
  <c r="B42" i="7"/>
  <c r="A42" i="7"/>
  <c r="L41" i="7"/>
  <c r="K41" i="7"/>
  <c r="H41" i="7"/>
  <c r="G41" i="7"/>
  <c r="F41" i="7"/>
  <c r="E41" i="7"/>
  <c r="D41" i="7"/>
  <c r="C41" i="7"/>
  <c r="B41" i="7"/>
  <c r="A41" i="7"/>
  <c r="L40" i="7"/>
  <c r="K40" i="7"/>
  <c r="H40" i="7"/>
  <c r="G40" i="7"/>
  <c r="F40" i="7"/>
  <c r="E40" i="7"/>
  <c r="D40" i="7"/>
  <c r="C40" i="7"/>
  <c r="B40" i="7"/>
  <c r="A40" i="7"/>
  <c r="L39" i="7"/>
  <c r="K39" i="7"/>
  <c r="H39" i="7"/>
  <c r="G39" i="7"/>
  <c r="F39" i="7"/>
  <c r="E39" i="7"/>
  <c r="D39" i="7"/>
  <c r="C39" i="7"/>
  <c r="B39" i="7"/>
  <c r="A39" i="7"/>
  <c r="L38" i="7"/>
  <c r="K38" i="7"/>
  <c r="H38" i="7"/>
  <c r="G38" i="7"/>
  <c r="F38" i="7"/>
  <c r="E38" i="7"/>
  <c r="D38" i="7"/>
  <c r="C38" i="7"/>
  <c r="B38" i="7"/>
  <c r="A38" i="7"/>
  <c r="L37" i="7"/>
  <c r="K37" i="7"/>
  <c r="H37" i="7"/>
  <c r="G37" i="7"/>
  <c r="F37" i="7"/>
  <c r="E37" i="7"/>
  <c r="D37" i="7"/>
  <c r="C37" i="7"/>
  <c r="B37" i="7"/>
  <c r="A37" i="7"/>
  <c r="L36" i="7"/>
  <c r="K36" i="7"/>
  <c r="H36" i="7"/>
  <c r="G36" i="7"/>
  <c r="F36" i="7"/>
  <c r="E36" i="7"/>
  <c r="D36" i="7"/>
  <c r="C36" i="7"/>
  <c r="B36" i="7"/>
  <c r="A36" i="7"/>
  <c r="L35" i="7"/>
  <c r="K35" i="7"/>
  <c r="H35" i="7"/>
  <c r="G35" i="7"/>
  <c r="F35" i="7"/>
  <c r="E35" i="7"/>
  <c r="D35" i="7"/>
  <c r="C35" i="7"/>
  <c r="B35" i="7"/>
  <c r="A35" i="7"/>
  <c r="L34" i="7"/>
  <c r="K34" i="7"/>
  <c r="H34" i="7"/>
  <c r="G34" i="7"/>
  <c r="F34" i="7"/>
  <c r="E34" i="7"/>
  <c r="D34" i="7"/>
  <c r="C34" i="7"/>
  <c r="B34" i="7"/>
  <c r="A34" i="7"/>
  <c r="L33" i="7"/>
  <c r="K33" i="7"/>
  <c r="H33" i="7"/>
  <c r="G33" i="7"/>
  <c r="F33" i="7"/>
  <c r="E33" i="7"/>
  <c r="D33" i="7"/>
  <c r="C33" i="7"/>
  <c r="B33" i="7"/>
  <c r="A33" i="7"/>
  <c r="L32" i="7"/>
  <c r="K32" i="7"/>
  <c r="H32" i="7"/>
  <c r="G32" i="7"/>
  <c r="F32" i="7"/>
  <c r="E32" i="7"/>
  <c r="D32" i="7"/>
  <c r="C32" i="7"/>
  <c r="B32" i="7"/>
  <c r="A32" i="7"/>
  <c r="L31" i="7"/>
  <c r="K31" i="7"/>
  <c r="H31" i="7"/>
  <c r="G31" i="7"/>
  <c r="F31" i="7"/>
  <c r="E31" i="7"/>
  <c r="D31" i="7"/>
  <c r="C31" i="7"/>
  <c r="B31" i="7"/>
  <c r="A31" i="7"/>
  <c r="L30" i="7"/>
  <c r="K30" i="7"/>
  <c r="H30" i="7"/>
  <c r="G30" i="7"/>
  <c r="F30" i="7"/>
  <c r="E30" i="7"/>
  <c r="D30" i="7"/>
  <c r="C30" i="7"/>
  <c r="B30" i="7"/>
  <c r="A30" i="7"/>
  <c r="L29" i="7"/>
  <c r="K29" i="7"/>
  <c r="H29" i="7"/>
  <c r="G29" i="7"/>
  <c r="F29" i="7"/>
  <c r="E29" i="7"/>
  <c r="D29" i="7"/>
  <c r="C29" i="7"/>
  <c r="B29" i="7"/>
  <c r="A29" i="7"/>
  <c r="L28" i="7"/>
  <c r="K28" i="7"/>
  <c r="H28" i="7"/>
  <c r="G28" i="7"/>
  <c r="F28" i="7"/>
  <c r="E28" i="7"/>
  <c r="D28" i="7"/>
  <c r="C28" i="7"/>
  <c r="B28" i="7"/>
  <c r="A28" i="7"/>
  <c r="L27" i="7"/>
  <c r="K27" i="7"/>
  <c r="H27" i="7"/>
  <c r="G27" i="7"/>
  <c r="F27" i="7"/>
  <c r="E27" i="7"/>
  <c r="D27" i="7"/>
  <c r="C27" i="7"/>
  <c r="B27" i="7"/>
  <c r="A27" i="7"/>
  <c r="L26" i="7"/>
  <c r="K26" i="7"/>
  <c r="H26" i="7"/>
  <c r="G26" i="7"/>
  <c r="F26" i="7"/>
  <c r="E26" i="7"/>
  <c r="D26" i="7"/>
  <c r="C26" i="7"/>
  <c r="B26" i="7"/>
  <c r="A26" i="7"/>
  <c r="L25" i="7"/>
  <c r="K25" i="7"/>
  <c r="H25" i="7"/>
  <c r="G25" i="7"/>
  <c r="F25" i="7"/>
  <c r="E25" i="7"/>
  <c r="D25" i="7"/>
  <c r="C25" i="7"/>
  <c r="B25" i="7"/>
  <c r="A25" i="7"/>
  <c r="L24" i="7"/>
  <c r="K24" i="7"/>
  <c r="H24" i="7"/>
  <c r="G24" i="7"/>
  <c r="F24" i="7"/>
  <c r="E24" i="7"/>
  <c r="D24" i="7"/>
  <c r="C24" i="7"/>
  <c r="B24" i="7"/>
  <c r="A24" i="7"/>
  <c r="L23" i="7"/>
  <c r="K23" i="7"/>
  <c r="H23" i="7"/>
  <c r="G23" i="7"/>
  <c r="F23" i="7"/>
  <c r="E23" i="7"/>
  <c r="D23" i="7"/>
  <c r="C23" i="7"/>
  <c r="B23" i="7"/>
  <c r="A23" i="7"/>
  <c r="L22" i="7"/>
  <c r="K22" i="7"/>
  <c r="H22" i="7"/>
  <c r="G22" i="7"/>
  <c r="F22" i="7"/>
  <c r="E22" i="7"/>
  <c r="D22" i="7"/>
  <c r="C22" i="7"/>
  <c r="B22" i="7"/>
  <c r="A22" i="7"/>
  <c r="L21" i="7"/>
  <c r="K21" i="7"/>
  <c r="H21" i="7"/>
  <c r="G21" i="7"/>
  <c r="F21" i="7"/>
  <c r="E21" i="7"/>
  <c r="D21" i="7"/>
  <c r="C21" i="7"/>
  <c r="B21" i="7"/>
  <c r="A21" i="7"/>
  <c r="L20" i="7"/>
  <c r="K20" i="7"/>
  <c r="H20" i="7"/>
  <c r="G20" i="7"/>
  <c r="F20" i="7"/>
  <c r="E20" i="7"/>
  <c r="D20" i="7"/>
  <c r="C20" i="7"/>
  <c r="B20" i="7"/>
  <c r="A20" i="7"/>
  <c r="L19" i="7"/>
  <c r="K19" i="7"/>
  <c r="H19" i="7"/>
  <c r="G19" i="7"/>
  <c r="F19" i="7"/>
  <c r="E19" i="7"/>
  <c r="D19" i="7"/>
  <c r="C19" i="7"/>
  <c r="B19" i="7"/>
  <c r="A19" i="7"/>
  <c r="L18" i="7"/>
  <c r="K18" i="7"/>
  <c r="H18" i="7"/>
  <c r="G18" i="7"/>
  <c r="F18" i="7"/>
  <c r="E18" i="7"/>
  <c r="D18" i="7"/>
  <c r="C18" i="7"/>
  <c r="B18" i="7"/>
  <c r="A18" i="7"/>
  <c r="L17" i="7"/>
  <c r="K17" i="7"/>
  <c r="H17" i="7"/>
  <c r="G17" i="7"/>
  <c r="F17" i="7"/>
  <c r="E17" i="7"/>
  <c r="D17" i="7"/>
  <c r="C17" i="7"/>
  <c r="B17" i="7"/>
  <c r="A17" i="7"/>
  <c r="L16" i="7"/>
  <c r="K16" i="7"/>
  <c r="H16" i="7"/>
  <c r="G16" i="7"/>
  <c r="F16" i="7"/>
  <c r="E16" i="7"/>
  <c r="D16" i="7"/>
  <c r="C16" i="7"/>
  <c r="B16" i="7"/>
  <c r="A16" i="7"/>
  <c r="L15" i="7"/>
  <c r="K15" i="7"/>
  <c r="H15" i="7"/>
  <c r="G15" i="7"/>
  <c r="F15" i="7"/>
  <c r="E15" i="7"/>
  <c r="D15" i="7"/>
  <c r="C15" i="7"/>
  <c r="B15" i="7"/>
  <c r="A15" i="7"/>
  <c r="L14" i="7"/>
  <c r="K14" i="7"/>
  <c r="H14" i="7"/>
  <c r="G14" i="7"/>
  <c r="F14" i="7"/>
  <c r="E14" i="7"/>
  <c r="D14" i="7"/>
  <c r="C14" i="7"/>
  <c r="B14" i="7"/>
  <c r="A14" i="7"/>
  <c r="L13" i="7"/>
  <c r="K13" i="7"/>
  <c r="H13" i="7"/>
  <c r="G13" i="7"/>
  <c r="F13" i="7"/>
  <c r="E13" i="7"/>
  <c r="D13" i="7"/>
  <c r="C13" i="7"/>
  <c r="B13" i="7"/>
  <c r="A13" i="7"/>
  <c r="L12" i="7"/>
  <c r="K12" i="7"/>
  <c r="H12" i="7"/>
  <c r="G12" i="7"/>
  <c r="F12" i="7"/>
  <c r="E12" i="7"/>
  <c r="D12" i="7"/>
  <c r="C12" i="7"/>
  <c r="B12" i="7"/>
  <c r="A12" i="7"/>
  <c r="L11" i="7"/>
  <c r="K11" i="7"/>
  <c r="H11" i="7"/>
  <c r="G11" i="7"/>
  <c r="F11" i="7"/>
  <c r="E11" i="7"/>
  <c r="D11" i="7"/>
  <c r="C11" i="7"/>
  <c r="B11" i="7"/>
  <c r="A11" i="7"/>
  <c r="L10" i="7"/>
  <c r="K10" i="7"/>
  <c r="H10" i="7"/>
  <c r="G10" i="7"/>
  <c r="F10" i="7"/>
  <c r="E10" i="7"/>
  <c r="D10" i="7"/>
  <c r="C10" i="7"/>
  <c r="B10" i="7"/>
  <c r="A10" i="7"/>
  <c r="L9" i="7"/>
  <c r="K9" i="7"/>
  <c r="H9" i="7"/>
  <c r="G9" i="7"/>
  <c r="F9" i="7"/>
  <c r="E9" i="7"/>
  <c r="D9" i="7"/>
  <c r="C9" i="7"/>
  <c r="B9" i="7"/>
  <c r="A9" i="7"/>
  <c r="L8" i="7"/>
  <c r="K8" i="7"/>
  <c r="H8" i="7"/>
  <c r="G8" i="7"/>
  <c r="F8" i="7"/>
  <c r="E8" i="7"/>
  <c r="D8" i="7"/>
  <c r="C8" i="7"/>
  <c r="B8" i="7"/>
  <c r="A8" i="7"/>
  <c r="K7" i="7"/>
  <c r="H7" i="7"/>
  <c r="G7" i="7"/>
  <c r="F7" i="7"/>
  <c r="E7" i="7"/>
  <c r="D7" i="7"/>
  <c r="C7" i="7"/>
  <c r="B7" i="7"/>
  <c r="A7" i="7"/>
  <c r="J2" i="7"/>
  <c r="D15" i="1" s="1"/>
  <c r="L110" i="6"/>
  <c r="K110" i="6"/>
  <c r="H110" i="6"/>
  <c r="G110" i="6"/>
  <c r="F110" i="6"/>
  <c r="E110" i="6"/>
  <c r="D110" i="6"/>
  <c r="C110" i="6"/>
  <c r="B110" i="6"/>
  <c r="A110" i="6"/>
  <c r="L109" i="6"/>
  <c r="K109" i="6"/>
  <c r="H109" i="6"/>
  <c r="G109" i="6"/>
  <c r="F109" i="6"/>
  <c r="E109" i="6"/>
  <c r="D109" i="6"/>
  <c r="C109" i="6"/>
  <c r="B109" i="6"/>
  <c r="A109" i="6"/>
  <c r="L108" i="6"/>
  <c r="K108" i="6"/>
  <c r="H108" i="6"/>
  <c r="G108" i="6"/>
  <c r="F108" i="6"/>
  <c r="E108" i="6"/>
  <c r="D108" i="6"/>
  <c r="C108" i="6"/>
  <c r="B108" i="6"/>
  <c r="A108" i="6"/>
  <c r="L107" i="6"/>
  <c r="K107" i="6"/>
  <c r="H107" i="6"/>
  <c r="G107" i="6"/>
  <c r="F107" i="6"/>
  <c r="E107" i="6"/>
  <c r="D107" i="6"/>
  <c r="C107" i="6"/>
  <c r="B107" i="6"/>
  <c r="A107" i="6"/>
  <c r="L106" i="6"/>
  <c r="K106" i="6"/>
  <c r="H106" i="6"/>
  <c r="G106" i="6"/>
  <c r="F106" i="6"/>
  <c r="E106" i="6"/>
  <c r="D106" i="6"/>
  <c r="C106" i="6"/>
  <c r="B106" i="6"/>
  <c r="A106" i="6"/>
  <c r="L105" i="6"/>
  <c r="K105" i="6"/>
  <c r="H105" i="6"/>
  <c r="G105" i="6"/>
  <c r="F105" i="6"/>
  <c r="E105" i="6"/>
  <c r="D105" i="6"/>
  <c r="C105" i="6"/>
  <c r="B105" i="6"/>
  <c r="A105" i="6"/>
  <c r="L104" i="6"/>
  <c r="K104" i="6"/>
  <c r="H104" i="6"/>
  <c r="G104" i="6"/>
  <c r="F104" i="6"/>
  <c r="E104" i="6"/>
  <c r="D104" i="6"/>
  <c r="C104" i="6"/>
  <c r="B104" i="6"/>
  <c r="A104" i="6"/>
  <c r="L103" i="6"/>
  <c r="K103" i="6"/>
  <c r="H103" i="6"/>
  <c r="G103" i="6"/>
  <c r="F103" i="6"/>
  <c r="E103" i="6"/>
  <c r="D103" i="6"/>
  <c r="C103" i="6"/>
  <c r="B103" i="6"/>
  <c r="A103" i="6"/>
  <c r="L102" i="6"/>
  <c r="K102" i="6"/>
  <c r="H102" i="6"/>
  <c r="G102" i="6"/>
  <c r="F102" i="6"/>
  <c r="E102" i="6"/>
  <c r="D102" i="6"/>
  <c r="C102" i="6"/>
  <c r="B102" i="6"/>
  <c r="A102" i="6"/>
  <c r="L101" i="6"/>
  <c r="K101" i="6"/>
  <c r="H101" i="6"/>
  <c r="G101" i="6"/>
  <c r="F101" i="6"/>
  <c r="E101" i="6"/>
  <c r="D101" i="6"/>
  <c r="C101" i="6"/>
  <c r="B101" i="6"/>
  <c r="A101" i="6"/>
  <c r="L100" i="6"/>
  <c r="K100" i="6"/>
  <c r="H100" i="6"/>
  <c r="G100" i="6"/>
  <c r="F100" i="6"/>
  <c r="E100" i="6"/>
  <c r="D100" i="6"/>
  <c r="C100" i="6"/>
  <c r="B100" i="6"/>
  <c r="A100" i="6"/>
  <c r="L99" i="6"/>
  <c r="K99" i="6"/>
  <c r="H99" i="6"/>
  <c r="G99" i="6"/>
  <c r="F99" i="6"/>
  <c r="E99" i="6"/>
  <c r="D99" i="6"/>
  <c r="C99" i="6"/>
  <c r="B99" i="6"/>
  <c r="A99" i="6"/>
  <c r="L98" i="6"/>
  <c r="K98" i="6"/>
  <c r="H98" i="6"/>
  <c r="G98" i="6"/>
  <c r="F98" i="6"/>
  <c r="E98" i="6"/>
  <c r="D98" i="6"/>
  <c r="C98" i="6"/>
  <c r="B98" i="6"/>
  <c r="A98" i="6"/>
  <c r="L97" i="6"/>
  <c r="K97" i="6"/>
  <c r="H97" i="6"/>
  <c r="G97" i="6"/>
  <c r="F97" i="6"/>
  <c r="E97" i="6"/>
  <c r="D97" i="6"/>
  <c r="C97" i="6"/>
  <c r="B97" i="6"/>
  <c r="A97" i="6"/>
  <c r="L96" i="6"/>
  <c r="K96" i="6"/>
  <c r="H96" i="6"/>
  <c r="G96" i="6"/>
  <c r="F96" i="6"/>
  <c r="E96" i="6"/>
  <c r="D96" i="6"/>
  <c r="C96" i="6"/>
  <c r="B96" i="6"/>
  <c r="A96" i="6"/>
  <c r="L95" i="6"/>
  <c r="K95" i="6"/>
  <c r="H95" i="6"/>
  <c r="G95" i="6"/>
  <c r="F95" i="6"/>
  <c r="E95" i="6"/>
  <c r="D95" i="6"/>
  <c r="C95" i="6"/>
  <c r="B95" i="6"/>
  <c r="A95" i="6"/>
  <c r="L94" i="6"/>
  <c r="K94" i="6"/>
  <c r="H94" i="6"/>
  <c r="G94" i="6"/>
  <c r="F94" i="6"/>
  <c r="E94" i="6"/>
  <c r="D94" i="6"/>
  <c r="C94" i="6"/>
  <c r="B94" i="6"/>
  <c r="A94" i="6"/>
  <c r="L93" i="6"/>
  <c r="K93" i="6"/>
  <c r="H93" i="6"/>
  <c r="G93" i="6"/>
  <c r="F93" i="6"/>
  <c r="E93" i="6"/>
  <c r="D93" i="6"/>
  <c r="C93" i="6"/>
  <c r="B93" i="6"/>
  <c r="A93" i="6"/>
  <c r="L92" i="6"/>
  <c r="K92" i="6"/>
  <c r="H92" i="6"/>
  <c r="G92" i="6"/>
  <c r="F92" i="6"/>
  <c r="E92" i="6"/>
  <c r="D92" i="6"/>
  <c r="C92" i="6"/>
  <c r="B92" i="6"/>
  <c r="A92" i="6"/>
  <c r="L91" i="6"/>
  <c r="K91" i="6"/>
  <c r="H91" i="6"/>
  <c r="G91" i="6"/>
  <c r="F91" i="6"/>
  <c r="E91" i="6"/>
  <c r="D91" i="6"/>
  <c r="C91" i="6"/>
  <c r="B91" i="6"/>
  <c r="A91" i="6"/>
  <c r="L90" i="6"/>
  <c r="K90" i="6"/>
  <c r="H90" i="6"/>
  <c r="G90" i="6"/>
  <c r="F90" i="6"/>
  <c r="E90" i="6"/>
  <c r="D90" i="6"/>
  <c r="C90" i="6"/>
  <c r="B90" i="6"/>
  <c r="A90" i="6"/>
  <c r="L89" i="6"/>
  <c r="K89" i="6"/>
  <c r="H89" i="6"/>
  <c r="G89" i="6"/>
  <c r="F89" i="6"/>
  <c r="E89" i="6"/>
  <c r="D89" i="6"/>
  <c r="C89" i="6"/>
  <c r="B89" i="6"/>
  <c r="A89" i="6"/>
  <c r="L88" i="6"/>
  <c r="K88" i="6"/>
  <c r="H88" i="6"/>
  <c r="G88" i="6"/>
  <c r="F88" i="6"/>
  <c r="E88" i="6"/>
  <c r="D88" i="6"/>
  <c r="C88" i="6"/>
  <c r="B88" i="6"/>
  <c r="A88" i="6"/>
  <c r="L87" i="6"/>
  <c r="K87" i="6"/>
  <c r="H87" i="6"/>
  <c r="G87" i="6"/>
  <c r="F87" i="6"/>
  <c r="E87" i="6"/>
  <c r="D87" i="6"/>
  <c r="C87" i="6"/>
  <c r="B87" i="6"/>
  <c r="A87" i="6"/>
  <c r="L86" i="6"/>
  <c r="K86" i="6"/>
  <c r="H86" i="6"/>
  <c r="G86" i="6"/>
  <c r="F86" i="6"/>
  <c r="E86" i="6"/>
  <c r="D86" i="6"/>
  <c r="C86" i="6"/>
  <c r="B86" i="6"/>
  <c r="A86" i="6"/>
  <c r="L85" i="6"/>
  <c r="K85" i="6"/>
  <c r="H85" i="6"/>
  <c r="G85" i="6"/>
  <c r="F85" i="6"/>
  <c r="E85" i="6"/>
  <c r="D85" i="6"/>
  <c r="C85" i="6"/>
  <c r="B85" i="6"/>
  <c r="A85" i="6"/>
  <c r="L84" i="6"/>
  <c r="K84" i="6"/>
  <c r="H84" i="6"/>
  <c r="G84" i="6"/>
  <c r="F84" i="6"/>
  <c r="E84" i="6"/>
  <c r="D84" i="6"/>
  <c r="C84" i="6"/>
  <c r="B84" i="6"/>
  <c r="A84" i="6"/>
  <c r="L83" i="6"/>
  <c r="K83" i="6"/>
  <c r="H83" i="6"/>
  <c r="G83" i="6"/>
  <c r="F83" i="6"/>
  <c r="E83" i="6"/>
  <c r="D83" i="6"/>
  <c r="C83" i="6"/>
  <c r="B83" i="6"/>
  <c r="A83" i="6"/>
  <c r="L82" i="6"/>
  <c r="K82" i="6"/>
  <c r="H82" i="6"/>
  <c r="G82" i="6"/>
  <c r="F82" i="6"/>
  <c r="E82" i="6"/>
  <c r="D82" i="6"/>
  <c r="C82" i="6"/>
  <c r="B82" i="6"/>
  <c r="A82" i="6"/>
  <c r="L81" i="6"/>
  <c r="K81" i="6"/>
  <c r="H81" i="6"/>
  <c r="G81" i="6"/>
  <c r="F81" i="6"/>
  <c r="E81" i="6"/>
  <c r="D81" i="6"/>
  <c r="C81" i="6"/>
  <c r="B81" i="6"/>
  <c r="A81" i="6"/>
  <c r="L80" i="6"/>
  <c r="K80" i="6"/>
  <c r="H80" i="6"/>
  <c r="G80" i="6"/>
  <c r="F80" i="6"/>
  <c r="E80" i="6"/>
  <c r="D80" i="6"/>
  <c r="C80" i="6"/>
  <c r="B80" i="6"/>
  <c r="A80" i="6"/>
  <c r="L79" i="6"/>
  <c r="K79" i="6"/>
  <c r="H79" i="6"/>
  <c r="G79" i="6"/>
  <c r="F79" i="6"/>
  <c r="E79" i="6"/>
  <c r="D79" i="6"/>
  <c r="C79" i="6"/>
  <c r="B79" i="6"/>
  <c r="A79" i="6"/>
  <c r="L78" i="6"/>
  <c r="K78" i="6"/>
  <c r="H78" i="6"/>
  <c r="G78" i="6"/>
  <c r="F78" i="6"/>
  <c r="E78" i="6"/>
  <c r="D78" i="6"/>
  <c r="C78" i="6"/>
  <c r="B78" i="6"/>
  <c r="A78" i="6"/>
  <c r="L77" i="6"/>
  <c r="K77" i="6"/>
  <c r="H77" i="6"/>
  <c r="G77" i="6"/>
  <c r="F77" i="6"/>
  <c r="E77" i="6"/>
  <c r="D77" i="6"/>
  <c r="C77" i="6"/>
  <c r="B77" i="6"/>
  <c r="A77" i="6"/>
  <c r="L76" i="6"/>
  <c r="K76" i="6"/>
  <c r="H76" i="6"/>
  <c r="G76" i="6"/>
  <c r="F76" i="6"/>
  <c r="E76" i="6"/>
  <c r="D76" i="6"/>
  <c r="C76" i="6"/>
  <c r="B76" i="6"/>
  <c r="A76" i="6"/>
  <c r="L75" i="6"/>
  <c r="K75" i="6"/>
  <c r="H75" i="6"/>
  <c r="G75" i="6"/>
  <c r="F75" i="6"/>
  <c r="E75" i="6"/>
  <c r="D75" i="6"/>
  <c r="C75" i="6"/>
  <c r="B75" i="6"/>
  <c r="A75" i="6"/>
  <c r="L74" i="6"/>
  <c r="K74" i="6"/>
  <c r="H74" i="6"/>
  <c r="G74" i="6"/>
  <c r="F74" i="6"/>
  <c r="E74" i="6"/>
  <c r="D74" i="6"/>
  <c r="C74" i="6"/>
  <c r="B74" i="6"/>
  <c r="A74" i="6"/>
  <c r="L73" i="6"/>
  <c r="K73" i="6"/>
  <c r="H73" i="6"/>
  <c r="G73" i="6"/>
  <c r="F73" i="6"/>
  <c r="E73" i="6"/>
  <c r="D73" i="6"/>
  <c r="C73" i="6"/>
  <c r="B73" i="6"/>
  <c r="A73" i="6"/>
  <c r="L72" i="6"/>
  <c r="K72" i="6"/>
  <c r="H72" i="6"/>
  <c r="G72" i="6"/>
  <c r="F72" i="6"/>
  <c r="E72" i="6"/>
  <c r="D72" i="6"/>
  <c r="C72" i="6"/>
  <c r="B72" i="6"/>
  <c r="A72" i="6"/>
  <c r="L71" i="6"/>
  <c r="K71" i="6"/>
  <c r="H71" i="6"/>
  <c r="G71" i="6"/>
  <c r="F71" i="6"/>
  <c r="E71" i="6"/>
  <c r="D71" i="6"/>
  <c r="C71" i="6"/>
  <c r="B71" i="6"/>
  <c r="A71" i="6"/>
  <c r="L70" i="6"/>
  <c r="K70" i="6"/>
  <c r="H70" i="6"/>
  <c r="G70" i="6"/>
  <c r="F70" i="6"/>
  <c r="E70" i="6"/>
  <c r="D70" i="6"/>
  <c r="C70" i="6"/>
  <c r="B70" i="6"/>
  <c r="A70" i="6"/>
  <c r="L69" i="6"/>
  <c r="K69" i="6"/>
  <c r="H69" i="6"/>
  <c r="G69" i="6"/>
  <c r="F69" i="6"/>
  <c r="E69" i="6"/>
  <c r="D69" i="6"/>
  <c r="C69" i="6"/>
  <c r="B69" i="6"/>
  <c r="A69" i="6"/>
  <c r="L68" i="6"/>
  <c r="K68" i="6"/>
  <c r="H68" i="6"/>
  <c r="G68" i="6"/>
  <c r="F68" i="6"/>
  <c r="E68" i="6"/>
  <c r="D68" i="6"/>
  <c r="C68" i="6"/>
  <c r="B68" i="6"/>
  <c r="A68" i="6"/>
  <c r="L67" i="6"/>
  <c r="K67" i="6"/>
  <c r="H67" i="6"/>
  <c r="G67" i="6"/>
  <c r="F67" i="6"/>
  <c r="E67" i="6"/>
  <c r="D67" i="6"/>
  <c r="C67" i="6"/>
  <c r="B67" i="6"/>
  <c r="A67" i="6"/>
  <c r="L66" i="6"/>
  <c r="K66" i="6"/>
  <c r="H66" i="6"/>
  <c r="G66" i="6"/>
  <c r="F66" i="6"/>
  <c r="E66" i="6"/>
  <c r="D66" i="6"/>
  <c r="C66" i="6"/>
  <c r="B66" i="6"/>
  <c r="A66" i="6"/>
  <c r="L65" i="6"/>
  <c r="K65" i="6"/>
  <c r="H65" i="6"/>
  <c r="G65" i="6"/>
  <c r="F65" i="6"/>
  <c r="E65" i="6"/>
  <c r="D65" i="6"/>
  <c r="C65" i="6"/>
  <c r="B65" i="6"/>
  <c r="A65" i="6"/>
  <c r="L64" i="6"/>
  <c r="K64" i="6"/>
  <c r="H64" i="6"/>
  <c r="G64" i="6"/>
  <c r="F64" i="6"/>
  <c r="E64" i="6"/>
  <c r="D64" i="6"/>
  <c r="C64" i="6"/>
  <c r="B64" i="6"/>
  <c r="A64" i="6"/>
  <c r="L63" i="6"/>
  <c r="K63" i="6"/>
  <c r="H63" i="6"/>
  <c r="G63" i="6"/>
  <c r="F63" i="6"/>
  <c r="E63" i="6"/>
  <c r="D63" i="6"/>
  <c r="C63" i="6"/>
  <c r="B63" i="6"/>
  <c r="A63" i="6"/>
  <c r="L62" i="6"/>
  <c r="K62" i="6"/>
  <c r="H62" i="6"/>
  <c r="G62" i="6"/>
  <c r="F62" i="6"/>
  <c r="E62" i="6"/>
  <c r="D62" i="6"/>
  <c r="C62" i="6"/>
  <c r="B62" i="6"/>
  <c r="A62" i="6"/>
  <c r="L61" i="6"/>
  <c r="K61" i="6"/>
  <c r="H61" i="6"/>
  <c r="G61" i="6"/>
  <c r="F61" i="6"/>
  <c r="E61" i="6"/>
  <c r="D61" i="6"/>
  <c r="C61" i="6"/>
  <c r="B61" i="6"/>
  <c r="A61" i="6"/>
  <c r="L60" i="6"/>
  <c r="K60" i="6"/>
  <c r="H60" i="6"/>
  <c r="G60" i="6"/>
  <c r="F60" i="6"/>
  <c r="E60" i="6"/>
  <c r="D60" i="6"/>
  <c r="C60" i="6"/>
  <c r="B60" i="6"/>
  <c r="A60" i="6"/>
  <c r="L59" i="6"/>
  <c r="K59" i="6"/>
  <c r="H59" i="6"/>
  <c r="G59" i="6"/>
  <c r="F59" i="6"/>
  <c r="E59" i="6"/>
  <c r="D59" i="6"/>
  <c r="C59" i="6"/>
  <c r="B59" i="6"/>
  <c r="A59" i="6"/>
  <c r="L58" i="6"/>
  <c r="K58" i="6"/>
  <c r="H58" i="6"/>
  <c r="G58" i="6"/>
  <c r="F58" i="6"/>
  <c r="E58" i="6"/>
  <c r="D58" i="6"/>
  <c r="C58" i="6"/>
  <c r="B58" i="6"/>
  <c r="A58" i="6"/>
  <c r="L57" i="6"/>
  <c r="K57" i="6"/>
  <c r="H57" i="6"/>
  <c r="G57" i="6"/>
  <c r="F57" i="6"/>
  <c r="E57" i="6"/>
  <c r="D57" i="6"/>
  <c r="C57" i="6"/>
  <c r="B57" i="6"/>
  <c r="A57" i="6"/>
  <c r="L56" i="6"/>
  <c r="K56" i="6"/>
  <c r="H56" i="6"/>
  <c r="G56" i="6"/>
  <c r="F56" i="6"/>
  <c r="E56" i="6"/>
  <c r="D56" i="6"/>
  <c r="C56" i="6"/>
  <c r="B56" i="6"/>
  <c r="A56" i="6"/>
  <c r="L55" i="6"/>
  <c r="K55" i="6"/>
  <c r="H55" i="6"/>
  <c r="G55" i="6"/>
  <c r="F55" i="6"/>
  <c r="E55" i="6"/>
  <c r="D55" i="6"/>
  <c r="C55" i="6"/>
  <c r="B55" i="6"/>
  <c r="A55" i="6"/>
  <c r="L54" i="6"/>
  <c r="K54" i="6"/>
  <c r="H54" i="6"/>
  <c r="G54" i="6"/>
  <c r="F54" i="6"/>
  <c r="E54" i="6"/>
  <c r="D54" i="6"/>
  <c r="C54" i="6"/>
  <c r="B54" i="6"/>
  <c r="A54" i="6"/>
  <c r="L53" i="6"/>
  <c r="K53" i="6"/>
  <c r="H53" i="6"/>
  <c r="G53" i="6"/>
  <c r="F53" i="6"/>
  <c r="E53" i="6"/>
  <c r="D53" i="6"/>
  <c r="C53" i="6"/>
  <c r="B53" i="6"/>
  <c r="A53" i="6"/>
  <c r="L52" i="6"/>
  <c r="K52" i="6"/>
  <c r="H52" i="6"/>
  <c r="G52" i="6"/>
  <c r="F52" i="6"/>
  <c r="E52" i="6"/>
  <c r="D52" i="6"/>
  <c r="C52" i="6"/>
  <c r="B52" i="6"/>
  <c r="A52" i="6"/>
  <c r="L51" i="6"/>
  <c r="K51" i="6"/>
  <c r="H51" i="6"/>
  <c r="G51" i="6"/>
  <c r="F51" i="6"/>
  <c r="E51" i="6"/>
  <c r="D51" i="6"/>
  <c r="C51" i="6"/>
  <c r="B51" i="6"/>
  <c r="A51" i="6"/>
  <c r="L50" i="6"/>
  <c r="K50" i="6"/>
  <c r="H50" i="6"/>
  <c r="G50" i="6"/>
  <c r="F50" i="6"/>
  <c r="E50" i="6"/>
  <c r="D50" i="6"/>
  <c r="C50" i="6"/>
  <c r="B50" i="6"/>
  <c r="A50" i="6"/>
  <c r="L49" i="6"/>
  <c r="K49" i="6"/>
  <c r="H49" i="6"/>
  <c r="G49" i="6"/>
  <c r="F49" i="6"/>
  <c r="E49" i="6"/>
  <c r="D49" i="6"/>
  <c r="C49" i="6"/>
  <c r="B49" i="6"/>
  <c r="A49" i="6"/>
  <c r="L48" i="6"/>
  <c r="K48" i="6"/>
  <c r="H48" i="6"/>
  <c r="G48" i="6"/>
  <c r="F48" i="6"/>
  <c r="E48" i="6"/>
  <c r="D48" i="6"/>
  <c r="C48" i="6"/>
  <c r="B48" i="6"/>
  <c r="A48" i="6"/>
  <c r="L47" i="6"/>
  <c r="K47" i="6"/>
  <c r="H47" i="6"/>
  <c r="G47" i="6"/>
  <c r="F47" i="6"/>
  <c r="E47" i="6"/>
  <c r="D47" i="6"/>
  <c r="C47" i="6"/>
  <c r="B47" i="6"/>
  <c r="A47" i="6"/>
  <c r="L46" i="6"/>
  <c r="K46" i="6"/>
  <c r="H46" i="6"/>
  <c r="G46" i="6"/>
  <c r="F46" i="6"/>
  <c r="E46" i="6"/>
  <c r="D46" i="6"/>
  <c r="C46" i="6"/>
  <c r="B46" i="6"/>
  <c r="A46" i="6"/>
  <c r="L45" i="6"/>
  <c r="K45" i="6"/>
  <c r="H45" i="6"/>
  <c r="G45" i="6"/>
  <c r="F45" i="6"/>
  <c r="E45" i="6"/>
  <c r="D45" i="6"/>
  <c r="C45" i="6"/>
  <c r="B45" i="6"/>
  <c r="A45" i="6"/>
  <c r="L44" i="6"/>
  <c r="K44" i="6"/>
  <c r="H44" i="6"/>
  <c r="G44" i="6"/>
  <c r="F44" i="6"/>
  <c r="E44" i="6"/>
  <c r="D44" i="6"/>
  <c r="C44" i="6"/>
  <c r="B44" i="6"/>
  <c r="A44" i="6"/>
  <c r="L43" i="6"/>
  <c r="K43" i="6"/>
  <c r="H43" i="6"/>
  <c r="G43" i="6"/>
  <c r="F43" i="6"/>
  <c r="E43" i="6"/>
  <c r="D43" i="6"/>
  <c r="C43" i="6"/>
  <c r="B43" i="6"/>
  <c r="A43" i="6"/>
  <c r="L42" i="6"/>
  <c r="K42" i="6"/>
  <c r="H42" i="6"/>
  <c r="G42" i="6"/>
  <c r="F42" i="6"/>
  <c r="E42" i="6"/>
  <c r="D42" i="6"/>
  <c r="C42" i="6"/>
  <c r="B42" i="6"/>
  <c r="A42" i="6"/>
  <c r="L41" i="6"/>
  <c r="K41" i="6"/>
  <c r="H41" i="6"/>
  <c r="G41" i="6"/>
  <c r="F41" i="6"/>
  <c r="E41" i="6"/>
  <c r="D41" i="6"/>
  <c r="C41" i="6"/>
  <c r="B41" i="6"/>
  <c r="A41" i="6"/>
  <c r="L40" i="6"/>
  <c r="K40" i="6"/>
  <c r="H40" i="6"/>
  <c r="G40" i="6"/>
  <c r="F40" i="6"/>
  <c r="E40" i="6"/>
  <c r="D40" i="6"/>
  <c r="C40" i="6"/>
  <c r="B40" i="6"/>
  <c r="A40" i="6"/>
  <c r="L39" i="6"/>
  <c r="K39" i="6"/>
  <c r="H39" i="6"/>
  <c r="G39" i="6"/>
  <c r="F39" i="6"/>
  <c r="E39" i="6"/>
  <c r="D39" i="6"/>
  <c r="C39" i="6"/>
  <c r="B39" i="6"/>
  <c r="A39" i="6"/>
  <c r="L38" i="6"/>
  <c r="K38" i="6"/>
  <c r="H38" i="6"/>
  <c r="G38" i="6"/>
  <c r="F38" i="6"/>
  <c r="E38" i="6"/>
  <c r="D38" i="6"/>
  <c r="C38" i="6"/>
  <c r="B38" i="6"/>
  <c r="A38" i="6"/>
  <c r="L37" i="6"/>
  <c r="K37" i="6"/>
  <c r="H37" i="6"/>
  <c r="G37" i="6"/>
  <c r="F37" i="6"/>
  <c r="E37" i="6"/>
  <c r="D37" i="6"/>
  <c r="C37" i="6"/>
  <c r="B37" i="6"/>
  <c r="A37" i="6"/>
  <c r="L36" i="6"/>
  <c r="K36" i="6"/>
  <c r="H36" i="6"/>
  <c r="G36" i="6"/>
  <c r="F36" i="6"/>
  <c r="E36" i="6"/>
  <c r="D36" i="6"/>
  <c r="C36" i="6"/>
  <c r="B36" i="6"/>
  <c r="A36" i="6"/>
  <c r="L35" i="6"/>
  <c r="K35" i="6"/>
  <c r="H35" i="6"/>
  <c r="G35" i="6"/>
  <c r="F35" i="6"/>
  <c r="E35" i="6"/>
  <c r="D35" i="6"/>
  <c r="C35" i="6"/>
  <c r="B35" i="6"/>
  <c r="A35" i="6"/>
  <c r="L34" i="6"/>
  <c r="K34" i="6"/>
  <c r="H34" i="6"/>
  <c r="G34" i="6"/>
  <c r="F34" i="6"/>
  <c r="E34" i="6"/>
  <c r="D34" i="6"/>
  <c r="C34" i="6"/>
  <c r="B34" i="6"/>
  <c r="A34" i="6"/>
  <c r="L33" i="6"/>
  <c r="K33" i="6"/>
  <c r="H33" i="6"/>
  <c r="G33" i="6"/>
  <c r="F33" i="6"/>
  <c r="E33" i="6"/>
  <c r="D33" i="6"/>
  <c r="C33" i="6"/>
  <c r="B33" i="6"/>
  <c r="A33" i="6"/>
  <c r="L32" i="6"/>
  <c r="K32" i="6"/>
  <c r="H32" i="6"/>
  <c r="G32" i="6"/>
  <c r="F32" i="6"/>
  <c r="E32" i="6"/>
  <c r="D32" i="6"/>
  <c r="C32" i="6"/>
  <c r="B32" i="6"/>
  <c r="A32" i="6"/>
  <c r="L31" i="6"/>
  <c r="K31" i="6"/>
  <c r="H31" i="6"/>
  <c r="G31" i="6"/>
  <c r="F31" i="6"/>
  <c r="E31" i="6"/>
  <c r="D31" i="6"/>
  <c r="C31" i="6"/>
  <c r="B31" i="6"/>
  <c r="A31" i="6"/>
  <c r="L30" i="6"/>
  <c r="K30" i="6"/>
  <c r="H30" i="6"/>
  <c r="G30" i="6"/>
  <c r="F30" i="6"/>
  <c r="E30" i="6"/>
  <c r="D30" i="6"/>
  <c r="C30" i="6"/>
  <c r="B30" i="6"/>
  <c r="A30" i="6"/>
  <c r="L29" i="6"/>
  <c r="K29" i="6"/>
  <c r="H29" i="6"/>
  <c r="G29" i="6"/>
  <c r="F29" i="6"/>
  <c r="E29" i="6"/>
  <c r="D29" i="6"/>
  <c r="C29" i="6"/>
  <c r="B29" i="6"/>
  <c r="A29" i="6"/>
  <c r="L28" i="6"/>
  <c r="K28" i="6"/>
  <c r="H28" i="6"/>
  <c r="G28" i="6"/>
  <c r="F28" i="6"/>
  <c r="E28" i="6"/>
  <c r="D28" i="6"/>
  <c r="C28" i="6"/>
  <c r="B28" i="6"/>
  <c r="A28" i="6"/>
  <c r="L27" i="6"/>
  <c r="K27" i="6"/>
  <c r="H27" i="6"/>
  <c r="G27" i="6"/>
  <c r="F27" i="6"/>
  <c r="E27" i="6"/>
  <c r="D27" i="6"/>
  <c r="C27" i="6"/>
  <c r="B27" i="6"/>
  <c r="A27" i="6"/>
  <c r="L26" i="6"/>
  <c r="K26" i="6"/>
  <c r="H26" i="6"/>
  <c r="G26" i="6"/>
  <c r="F26" i="6"/>
  <c r="E26" i="6"/>
  <c r="D26" i="6"/>
  <c r="C26" i="6"/>
  <c r="B26" i="6"/>
  <c r="A26" i="6"/>
  <c r="L25" i="6"/>
  <c r="K25" i="6"/>
  <c r="H25" i="6"/>
  <c r="G25" i="6"/>
  <c r="F25" i="6"/>
  <c r="E25" i="6"/>
  <c r="D25" i="6"/>
  <c r="C25" i="6"/>
  <c r="B25" i="6"/>
  <c r="A25" i="6"/>
  <c r="L24" i="6"/>
  <c r="K24" i="6"/>
  <c r="H24" i="6"/>
  <c r="G24" i="6"/>
  <c r="F24" i="6"/>
  <c r="E24" i="6"/>
  <c r="D24" i="6"/>
  <c r="C24" i="6"/>
  <c r="B24" i="6"/>
  <c r="A24" i="6"/>
  <c r="L23" i="6"/>
  <c r="K23" i="6"/>
  <c r="H23" i="6"/>
  <c r="G23" i="6"/>
  <c r="F23" i="6"/>
  <c r="E23" i="6"/>
  <c r="D23" i="6"/>
  <c r="C23" i="6"/>
  <c r="B23" i="6"/>
  <c r="A23" i="6"/>
  <c r="L22" i="6"/>
  <c r="K22" i="6"/>
  <c r="H22" i="6"/>
  <c r="G22" i="6"/>
  <c r="F22" i="6"/>
  <c r="E22" i="6"/>
  <c r="D22" i="6"/>
  <c r="C22" i="6"/>
  <c r="B22" i="6"/>
  <c r="A22" i="6"/>
  <c r="L21" i="6"/>
  <c r="K21" i="6"/>
  <c r="H21" i="6"/>
  <c r="G21" i="6"/>
  <c r="F21" i="6"/>
  <c r="E21" i="6"/>
  <c r="D21" i="6"/>
  <c r="C21" i="6"/>
  <c r="B21" i="6"/>
  <c r="A21" i="6"/>
  <c r="L20" i="6"/>
  <c r="K20" i="6"/>
  <c r="H20" i="6"/>
  <c r="G20" i="6"/>
  <c r="F20" i="6"/>
  <c r="E20" i="6"/>
  <c r="D20" i="6"/>
  <c r="C20" i="6"/>
  <c r="B20" i="6"/>
  <c r="A20" i="6"/>
  <c r="L19" i="6"/>
  <c r="K19" i="6"/>
  <c r="H19" i="6"/>
  <c r="G19" i="6"/>
  <c r="F19" i="6"/>
  <c r="E19" i="6"/>
  <c r="D19" i="6"/>
  <c r="C19" i="6"/>
  <c r="B19" i="6"/>
  <c r="A19" i="6"/>
  <c r="L18" i="6"/>
  <c r="K18" i="6"/>
  <c r="H18" i="6"/>
  <c r="G18" i="6"/>
  <c r="F18" i="6"/>
  <c r="E18" i="6"/>
  <c r="D18" i="6"/>
  <c r="C18" i="6"/>
  <c r="B18" i="6"/>
  <c r="A18" i="6"/>
  <c r="L17" i="6"/>
  <c r="K17" i="6"/>
  <c r="H17" i="6"/>
  <c r="G17" i="6"/>
  <c r="F17" i="6"/>
  <c r="E17" i="6"/>
  <c r="D17" i="6"/>
  <c r="C17" i="6"/>
  <c r="B17" i="6"/>
  <c r="A17" i="6"/>
  <c r="L16" i="6"/>
  <c r="K16" i="6"/>
  <c r="H16" i="6"/>
  <c r="G16" i="6"/>
  <c r="F16" i="6"/>
  <c r="E16" i="6"/>
  <c r="D16" i="6"/>
  <c r="C16" i="6"/>
  <c r="B16" i="6"/>
  <c r="A16" i="6"/>
  <c r="L15" i="6"/>
  <c r="K15" i="6"/>
  <c r="H15" i="6"/>
  <c r="G15" i="6"/>
  <c r="F15" i="6"/>
  <c r="E15" i="6"/>
  <c r="D15" i="6"/>
  <c r="C15" i="6"/>
  <c r="B15" i="6"/>
  <c r="A15" i="6"/>
  <c r="L14" i="6"/>
  <c r="K14" i="6"/>
  <c r="H14" i="6"/>
  <c r="G14" i="6"/>
  <c r="F14" i="6"/>
  <c r="E14" i="6"/>
  <c r="D14" i="6"/>
  <c r="C14" i="6"/>
  <c r="B14" i="6"/>
  <c r="A14" i="6"/>
  <c r="L13" i="6"/>
  <c r="K13" i="6"/>
  <c r="H13" i="6"/>
  <c r="G13" i="6"/>
  <c r="F13" i="6"/>
  <c r="E13" i="6"/>
  <c r="D13" i="6"/>
  <c r="C13" i="6"/>
  <c r="B13" i="6"/>
  <c r="A13" i="6"/>
  <c r="L12" i="6"/>
  <c r="K12" i="6"/>
  <c r="H12" i="6"/>
  <c r="G12" i="6"/>
  <c r="F12" i="6"/>
  <c r="E12" i="6"/>
  <c r="D12" i="6"/>
  <c r="C12" i="6"/>
  <c r="B12" i="6"/>
  <c r="A12" i="6"/>
  <c r="L11" i="6"/>
  <c r="K11" i="6"/>
  <c r="H11" i="6"/>
  <c r="G11" i="6"/>
  <c r="F11" i="6"/>
  <c r="E11" i="6"/>
  <c r="D11" i="6"/>
  <c r="C11" i="6"/>
  <c r="B11" i="6"/>
  <c r="A11" i="6"/>
  <c r="L10" i="6"/>
  <c r="K10" i="6"/>
  <c r="H10" i="6"/>
  <c r="G10" i="6"/>
  <c r="F10" i="6"/>
  <c r="E10" i="6"/>
  <c r="D10" i="6"/>
  <c r="C10" i="6"/>
  <c r="B10" i="6"/>
  <c r="A10" i="6"/>
  <c r="L9" i="6"/>
  <c r="K9" i="6"/>
  <c r="H9" i="6"/>
  <c r="G9" i="6"/>
  <c r="F9" i="6"/>
  <c r="E9" i="6"/>
  <c r="D9" i="6"/>
  <c r="C9" i="6"/>
  <c r="B9" i="6"/>
  <c r="A9" i="6"/>
  <c r="L8" i="6"/>
  <c r="K8" i="6"/>
  <c r="H8" i="6"/>
  <c r="G8" i="6"/>
  <c r="F8" i="6"/>
  <c r="E8" i="6"/>
  <c r="D8" i="6"/>
  <c r="C8" i="6"/>
  <c r="B8" i="6"/>
  <c r="A8" i="6"/>
  <c r="K7" i="6"/>
  <c r="H7" i="6"/>
  <c r="G7" i="6"/>
  <c r="F7" i="6"/>
  <c r="E7" i="6"/>
  <c r="D7" i="6"/>
  <c r="C7" i="6"/>
  <c r="B7" i="6"/>
  <c r="A7" i="6"/>
  <c r="J2" i="6"/>
  <c r="D14" i="1" s="1"/>
  <c r="L110" i="5"/>
  <c r="K110" i="5"/>
  <c r="H110" i="5"/>
  <c r="G110" i="5"/>
  <c r="F110" i="5"/>
  <c r="E110" i="5"/>
  <c r="D110" i="5"/>
  <c r="C110" i="5"/>
  <c r="B110" i="5"/>
  <c r="A110" i="5"/>
  <c r="L109" i="5"/>
  <c r="K109" i="5"/>
  <c r="H109" i="5"/>
  <c r="G109" i="5"/>
  <c r="F109" i="5"/>
  <c r="E109" i="5"/>
  <c r="D109" i="5"/>
  <c r="C109" i="5"/>
  <c r="B109" i="5"/>
  <c r="A109" i="5"/>
  <c r="L108" i="5"/>
  <c r="K108" i="5"/>
  <c r="H108" i="5"/>
  <c r="G108" i="5"/>
  <c r="F108" i="5"/>
  <c r="E108" i="5"/>
  <c r="D108" i="5"/>
  <c r="C108" i="5"/>
  <c r="B108" i="5"/>
  <c r="A108" i="5"/>
  <c r="L107" i="5"/>
  <c r="K107" i="5"/>
  <c r="H107" i="5"/>
  <c r="G107" i="5"/>
  <c r="F107" i="5"/>
  <c r="E107" i="5"/>
  <c r="D107" i="5"/>
  <c r="C107" i="5"/>
  <c r="B107" i="5"/>
  <c r="A107" i="5"/>
  <c r="L106" i="5"/>
  <c r="K106" i="5"/>
  <c r="H106" i="5"/>
  <c r="G106" i="5"/>
  <c r="F106" i="5"/>
  <c r="E106" i="5"/>
  <c r="D106" i="5"/>
  <c r="C106" i="5"/>
  <c r="B106" i="5"/>
  <c r="A106" i="5"/>
  <c r="L105" i="5"/>
  <c r="K105" i="5"/>
  <c r="H105" i="5"/>
  <c r="G105" i="5"/>
  <c r="F105" i="5"/>
  <c r="E105" i="5"/>
  <c r="D105" i="5"/>
  <c r="C105" i="5"/>
  <c r="B105" i="5"/>
  <c r="A105" i="5"/>
  <c r="L104" i="5"/>
  <c r="K104" i="5"/>
  <c r="H104" i="5"/>
  <c r="G104" i="5"/>
  <c r="F104" i="5"/>
  <c r="E104" i="5"/>
  <c r="D104" i="5"/>
  <c r="C104" i="5"/>
  <c r="B104" i="5"/>
  <c r="A104" i="5"/>
  <c r="L103" i="5"/>
  <c r="K103" i="5"/>
  <c r="H103" i="5"/>
  <c r="G103" i="5"/>
  <c r="F103" i="5"/>
  <c r="E103" i="5"/>
  <c r="D103" i="5"/>
  <c r="C103" i="5"/>
  <c r="B103" i="5"/>
  <c r="A103" i="5"/>
  <c r="L102" i="5"/>
  <c r="K102" i="5"/>
  <c r="H102" i="5"/>
  <c r="G102" i="5"/>
  <c r="F102" i="5"/>
  <c r="E102" i="5"/>
  <c r="D102" i="5"/>
  <c r="C102" i="5"/>
  <c r="B102" i="5"/>
  <c r="A102" i="5"/>
  <c r="L101" i="5"/>
  <c r="K101" i="5"/>
  <c r="H101" i="5"/>
  <c r="G101" i="5"/>
  <c r="F101" i="5"/>
  <c r="E101" i="5"/>
  <c r="D101" i="5"/>
  <c r="C101" i="5"/>
  <c r="B101" i="5"/>
  <c r="A101" i="5"/>
  <c r="L100" i="5"/>
  <c r="K100" i="5"/>
  <c r="H100" i="5"/>
  <c r="G100" i="5"/>
  <c r="F100" i="5"/>
  <c r="E100" i="5"/>
  <c r="D100" i="5"/>
  <c r="C100" i="5"/>
  <c r="B100" i="5"/>
  <c r="A100" i="5"/>
  <c r="L99" i="5"/>
  <c r="K99" i="5"/>
  <c r="H99" i="5"/>
  <c r="G99" i="5"/>
  <c r="F99" i="5"/>
  <c r="E99" i="5"/>
  <c r="D99" i="5"/>
  <c r="C99" i="5"/>
  <c r="B99" i="5"/>
  <c r="A99" i="5"/>
  <c r="L98" i="5"/>
  <c r="K98" i="5"/>
  <c r="H98" i="5"/>
  <c r="G98" i="5"/>
  <c r="F98" i="5"/>
  <c r="E98" i="5"/>
  <c r="D98" i="5"/>
  <c r="C98" i="5"/>
  <c r="B98" i="5"/>
  <c r="A98" i="5"/>
  <c r="L97" i="5"/>
  <c r="K97" i="5"/>
  <c r="H97" i="5"/>
  <c r="G97" i="5"/>
  <c r="F97" i="5"/>
  <c r="E97" i="5"/>
  <c r="D97" i="5"/>
  <c r="C97" i="5"/>
  <c r="B97" i="5"/>
  <c r="A97" i="5"/>
  <c r="L96" i="5"/>
  <c r="K96" i="5"/>
  <c r="H96" i="5"/>
  <c r="G96" i="5"/>
  <c r="F96" i="5"/>
  <c r="E96" i="5"/>
  <c r="D96" i="5"/>
  <c r="C96" i="5"/>
  <c r="B96" i="5"/>
  <c r="A96" i="5"/>
  <c r="L95" i="5"/>
  <c r="K95" i="5"/>
  <c r="H95" i="5"/>
  <c r="G95" i="5"/>
  <c r="F95" i="5"/>
  <c r="E95" i="5"/>
  <c r="D95" i="5"/>
  <c r="C95" i="5"/>
  <c r="B95" i="5"/>
  <c r="A95" i="5"/>
  <c r="L94" i="5"/>
  <c r="K94" i="5"/>
  <c r="H94" i="5"/>
  <c r="G94" i="5"/>
  <c r="F94" i="5"/>
  <c r="E94" i="5"/>
  <c r="D94" i="5"/>
  <c r="C94" i="5"/>
  <c r="B94" i="5"/>
  <c r="A94" i="5"/>
  <c r="L93" i="5"/>
  <c r="K93" i="5"/>
  <c r="H93" i="5"/>
  <c r="G93" i="5"/>
  <c r="F93" i="5"/>
  <c r="E93" i="5"/>
  <c r="D93" i="5"/>
  <c r="C93" i="5"/>
  <c r="B93" i="5"/>
  <c r="A93" i="5"/>
  <c r="L92" i="5"/>
  <c r="K92" i="5"/>
  <c r="H92" i="5"/>
  <c r="G92" i="5"/>
  <c r="F92" i="5"/>
  <c r="E92" i="5"/>
  <c r="D92" i="5"/>
  <c r="C92" i="5"/>
  <c r="B92" i="5"/>
  <c r="A92" i="5"/>
  <c r="L91" i="5"/>
  <c r="K91" i="5"/>
  <c r="H91" i="5"/>
  <c r="G91" i="5"/>
  <c r="F91" i="5"/>
  <c r="E91" i="5"/>
  <c r="D91" i="5"/>
  <c r="C91" i="5"/>
  <c r="B91" i="5"/>
  <c r="A91" i="5"/>
  <c r="L90" i="5"/>
  <c r="K90" i="5"/>
  <c r="H90" i="5"/>
  <c r="G90" i="5"/>
  <c r="F90" i="5"/>
  <c r="E90" i="5"/>
  <c r="D90" i="5"/>
  <c r="C90" i="5"/>
  <c r="B90" i="5"/>
  <c r="A90" i="5"/>
  <c r="L89" i="5"/>
  <c r="K89" i="5"/>
  <c r="H89" i="5"/>
  <c r="G89" i="5"/>
  <c r="F89" i="5"/>
  <c r="E89" i="5"/>
  <c r="D89" i="5"/>
  <c r="C89" i="5"/>
  <c r="B89" i="5"/>
  <c r="A89" i="5"/>
  <c r="L88" i="5"/>
  <c r="K88" i="5"/>
  <c r="H88" i="5"/>
  <c r="G88" i="5"/>
  <c r="F88" i="5"/>
  <c r="E88" i="5"/>
  <c r="D88" i="5"/>
  <c r="C88" i="5"/>
  <c r="B88" i="5"/>
  <c r="A88" i="5"/>
  <c r="L87" i="5"/>
  <c r="K87" i="5"/>
  <c r="H87" i="5"/>
  <c r="G87" i="5"/>
  <c r="F87" i="5"/>
  <c r="E87" i="5"/>
  <c r="D87" i="5"/>
  <c r="C87" i="5"/>
  <c r="B87" i="5"/>
  <c r="A87" i="5"/>
  <c r="L86" i="5"/>
  <c r="K86" i="5"/>
  <c r="H86" i="5"/>
  <c r="G86" i="5"/>
  <c r="F86" i="5"/>
  <c r="E86" i="5"/>
  <c r="D86" i="5"/>
  <c r="C86" i="5"/>
  <c r="B86" i="5"/>
  <c r="A86" i="5"/>
  <c r="L85" i="5"/>
  <c r="K85" i="5"/>
  <c r="H85" i="5"/>
  <c r="G85" i="5"/>
  <c r="F85" i="5"/>
  <c r="E85" i="5"/>
  <c r="D85" i="5"/>
  <c r="C85" i="5"/>
  <c r="B85" i="5"/>
  <c r="A85" i="5"/>
  <c r="L84" i="5"/>
  <c r="K84" i="5"/>
  <c r="H84" i="5"/>
  <c r="G84" i="5"/>
  <c r="F84" i="5"/>
  <c r="E84" i="5"/>
  <c r="D84" i="5"/>
  <c r="C84" i="5"/>
  <c r="B84" i="5"/>
  <c r="A84" i="5"/>
  <c r="L83" i="5"/>
  <c r="K83" i="5"/>
  <c r="H83" i="5"/>
  <c r="G83" i="5"/>
  <c r="F83" i="5"/>
  <c r="E83" i="5"/>
  <c r="D83" i="5"/>
  <c r="C83" i="5"/>
  <c r="B83" i="5"/>
  <c r="A83" i="5"/>
  <c r="L82" i="5"/>
  <c r="K82" i="5"/>
  <c r="H82" i="5"/>
  <c r="G82" i="5"/>
  <c r="F82" i="5"/>
  <c r="E82" i="5"/>
  <c r="D82" i="5"/>
  <c r="C82" i="5"/>
  <c r="B82" i="5"/>
  <c r="A82" i="5"/>
  <c r="L81" i="5"/>
  <c r="K81" i="5"/>
  <c r="H81" i="5"/>
  <c r="G81" i="5"/>
  <c r="F81" i="5"/>
  <c r="E81" i="5"/>
  <c r="D81" i="5"/>
  <c r="C81" i="5"/>
  <c r="B81" i="5"/>
  <c r="A81" i="5"/>
  <c r="L80" i="5"/>
  <c r="K80" i="5"/>
  <c r="H80" i="5"/>
  <c r="G80" i="5"/>
  <c r="F80" i="5"/>
  <c r="E80" i="5"/>
  <c r="D80" i="5"/>
  <c r="C80" i="5"/>
  <c r="B80" i="5"/>
  <c r="A80" i="5"/>
  <c r="L79" i="5"/>
  <c r="K79" i="5"/>
  <c r="H79" i="5"/>
  <c r="G79" i="5"/>
  <c r="F79" i="5"/>
  <c r="E79" i="5"/>
  <c r="D79" i="5"/>
  <c r="C79" i="5"/>
  <c r="B79" i="5"/>
  <c r="A79" i="5"/>
  <c r="L78" i="5"/>
  <c r="K78" i="5"/>
  <c r="H78" i="5"/>
  <c r="G78" i="5"/>
  <c r="F78" i="5"/>
  <c r="E78" i="5"/>
  <c r="D78" i="5"/>
  <c r="C78" i="5"/>
  <c r="B78" i="5"/>
  <c r="A78" i="5"/>
  <c r="L77" i="5"/>
  <c r="K77" i="5"/>
  <c r="H77" i="5"/>
  <c r="G77" i="5"/>
  <c r="F77" i="5"/>
  <c r="E77" i="5"/>
  <c r="D77" i="5"/>
  <c r="C77" i="5"/>
  <c r="B77" i="5"/>
  <c r="A77" i="5"/>
  <c r="L76" i="5"/>
  <c r="K76" i="5"/>
  <c r="H76" i="5"/>
  <c r="G76" i="5"/>
  <c r="F76" i="5"/>
  <c r="E76" i="5"/>
  <c r="D76" i="5"/>
  <c r="C76" i="5"/>
  <c r="B76" i="5"/>
  <c r="A76" i="5"/>
  <c r="L75" i="5"/>
  <c r="K75" i="5"/>
  <c r="H75" i="5"/>
  <c r="G75" i="5"/>
  <c r="F75" i="5"/>
  <c r="E75" i="5"/>
  <c r="D75" i="5"/>
  <c r="C75" i="5"/>
  <c r="B75" i="5"/>
  <c r="A75" i="5"/>
  <c r="L74" i="5"/>
  <c r="K74" i="5"/>
  <c r="H74" i="5"/>
  <c r="G74" i="5"/>
  <c r="F74" i="5"/>
  <c r="E74" i="5"/>
  <c r="D74" i="5"/>
  <c r="C74" i="5"/>
  <c r="B74" i="5"/>
  <c r="A74" i="5"/>
  <c r="L73" i="5"/>
  <c r="K73" i="5"/>
  <c r="H73" i="5"/>
  <c r="G73" i="5"/>
  <c r="F73" i="5"/>
  <c r="E73" i="5"/>
  <c r="D73" i="5"/>
  <c r="C73" i="5"/>
  <c r="B73" i="5"/>
  <c r="A73" i="5"/>
  <c r="L72" i="5"/>
  <c r="K72" i="5"/>
  <c r="H72" i="5"/>
  <c r="G72" i="5"/>
  <c r="F72" i="5"/>
  <c r="E72" i="5"/>
  <c r="D72" i="5"/>
  <c r="C72" i="5"/>
  <c r="B72" i="5"/>
  <c r="A72" i="5"/>
  <c r="L71" i="5"/>
  <c r="K71" i="5"/>
  <c r="H71" i="5"/>
  <c r="G71" i="5"/>
  <c r="F71" i="5"/>
  <c r="E71" i="5"/>
  <c r="D71" i="5"/>
  <c r="C71" i="5"/>
  <c r="B71" i="5"/>
  <c r="A71" i="5"/>
  <c r="L70" i="5"/>
  <c r="K70" i="5"/>
  <c r="H70" i="5"/>
  <c r="G70" i="5"/>
  <c r="F70" i="5"/>
  <c r="E70" i="5"/>
  <c r="D70" i="5"/>
  <c r="C70" i="5"/>
  <c r="B70" i="5"/>
  <c r="A70" i="5"/>
  <c r="L69" i="5"/>
  <c r="K69" i="5"/>
  <c r="H69" i="5"/>
  <c r="G69" i="5"/>
  <c r="F69" i="5"/>
  <c r="E69" i="5"/>
  <c r="D69" i="5"/>
  <c r="C69" i="5"/>
  <c r="B69" i="5"/>
  <c r="A69" i="5"/>
  <c r="L68" i="5"/>
  <c r="K68" i="5"/>
  <c r="H68" i="5"/>
  <c r="G68" i="5"/>
  <c r="F68" i="5"/>
  <c r="E68" i="5"/>
  <c r="D68" i="5"/>
  <c r="C68" i="5"/>
  <c r="B68" i="5"/>
  <c r="A68" i="5"/>
  <c r="L67" i="5"/>
  <c r="K67" i="5"/>
  <c r="H67" i="5"/>
  <c r="G67" i="5"/>
  <c r="F67" i="5"/>
  <c r="E67" i="5"/>
  <c r="D67" i="5"/>
  <c r="C67" i="5"/>
  <c r="B67" i="5"/>
  <c r="A67" i="5"/>
  <c r="L66" i="5"/>
  <c r="K66" i="5"/>
  <c r="H66" i="5"/>
  <c r="G66" i="5"/>
  <c r="F66" i="5"/>
  <c r="E66" i="5"/>
  <c r="D66" i="5"/>
  <c r="C66" i="5"/>
  <c r="B66" i="5"/>
  <c r="A66" i="5"/>
  <c r="L65" i="5"/>
  <c r="K65" i="5"/>
  <c r="H65" i="5"/>
  <c r="G65" i="5"/>
  <c r="F65" i="5"/>
  <c r="E65" i="5"/>
  <c r="D65" i="5"/>
  <c r="C65" i="5"/>
  <c r="B65" i="5"/>
  <c r="A65" i="5"/>
  <c r="L64" i="5"/>
  <c r="K64" i="5"/>
  <c r="H64" i="5"/>
  <c r="G64" i="5"/>
  <c r="F64" i="5"/>
  <c r="E64" i="5"/>
  <c r="D64" i="5"/>
  <c r="C64" i="5"/>
  <c r="B64" i="5"/>
  <c r="A64" i="5"/>
  <c r="L63" i="5"/>
  <c r="K63" i="5"/>
  <c r="H63" i="5"/>
  <c r="G63" i="5"/>
  <c r="F63" i="5"/>
  <c r="E63" i="5"/>
  <c r="D63" i="5"/>
  <c r="C63" i="5"/>
  <c r="B63" i="5"/>
  <c r="A63" i="5"/>
  <c r="L62" i="5"/>
  <c r="K62" i="5"/>
  <c r="H62" i="5"/>
  <c r="G62" i="5"/>
  <c r="F62" i="5"/>
  <c r="E62" i="5"/>
  <c r="D62" i="5"/>
  <c r="C62" i="5"/>
  <c r="B62" i="5"/>
  <c r="A62" i="5"/>
  <c r="L61" i="5"/>
  <c r="K61" i="5"/>
  <c r="H61" i="5"/>
  <c r="G61" i="5"/>
  <c r="F61" i="5"/>
  <c r="E61" i="5"/>
  <c r="D61" i="5"/>
  <c r="C61" i="5"/>
  <c r="B61" i="5"/>
  <c r="A61" i="5"/>
  <c r="L60" i="5"/>
  <c r="K60" i="5"/>
  <c r="H60" i="5"/>
  <c r="G60" i="5"/>
  <c r="F60" i="5"/>
  <c r="E60" i="5"/>
  <c r="D60" i="5"/>
  <c r="C60" i="5"/>
  <c r="B60" i="5"/>
  <c r="A60" i="5"/>
  <c r="L59" i="5"/>
  <c r="K59" i="5"/>
  <c r="H59" i="5"/>
  <c r="G59" i="5"/>
  <c r="F59" i="5"/>
  <c r="E59" i="5"/>
  <c r="D59" i="5"/>
  <c r="C59" i="5"/>
  <c r="B59" i="5"/>
  <c r="A59" i="5"/>
  <c r="L58" i="5"/>
  <c r="K58" i="5"/>
  <c r="H58" i="5"/>
  <c r="G58" i="5"/>
  <c r="F58" i="5"/>
  <c r="E58" i="5"/>
  <c r="D58" i="5"/>
  <c r="C58" i="5"/>
  <c r="B58" i="5"/>
  <c r="A58" i="5"/>
  <c r="L57" i="5"/>
  <c r="K57" i="5"/>
  <c r="H57" i="5"/>
  <c r="G57" i="5"/>
  <c r="F57" i="5"/>
  <c r="E57" i="5"/>
  <c r="D57" i="5"/>
  <c r="C57" i="5"/>
  <c r="B57" i="5"/>
  <c r="A57" i="5"/>
  <c r="L56" i="5"/>
  <c r="K56" i="5"/>
  <c r="H56" i="5"/>
  <c r="G56" i="5"/>
  <c r="F56" i="5"/>
  <c r="E56" i="5"/>
  <c r="D56" i="5"/>
  <c r="C56" i="5"/>
  <c r="B56" i="5"/>
  <c r="A56" i="5"/>
  <c r="L55" i="5"/>
  <c r="K55" i="5"/>
  <c r="H55" i="5"/>
  <c r="G55" i="5"/>
  <c r="F55" i="5"/>
  <c r="E55" i="5"/>
  <c r="D55" i="5"/>
  <c r="C55" i="5"/>
  <c r="B55" i="5"/>
  <c r="A55" i="5"/>
  <c r="L54" i="5"/>
  <c r="K54" i="5"/>
  <c r="H54" i="5"/>
  <c r="G54" i="5"/>
  <c r="F54" i="5"/>
  <c r="E54" i="5"/>
  <c r="D54" i="5"/>
  <c r="C54" i="5"/>
  <c r="B54" i="5"/>
  <c r="A54" i="5"/>
  <c r="L53" i="5"/>
  <c r="K53" i="5"/>
  <c r="H53" i="5"/>
  <c r="G53" i="5"/>
  <c r="F53" i="5"/>
  <c r="E53" i="5"/>
  <c r="D53" i="5"/>
  <c r="C53" i="5"/>
  <c r="B53" i="5"/>
  <c r="A53" i="5"/>
  <c r="L52" i="5"/>
  <c r="K52" i="5"/>
  <c r="H52" i="5"/>
  <c r="G52" i="5"/>
  <c r="F52" i="5"/>
  <c r="E52" i="5"/>
  <c r="D52" i="5"/>
  <c r="C52" i="5"/>
  <c r="B52" i="5"/>
  <c r="A52" i="5"/>
  <c r="L51" i="5"/>
  <c r="K51" i="5"/>
  <c r="H51" i="5"/>
  <c r="G51" i="5"/>
  <c r="F51" i="5"/>
  <c r="E51" i="5"/>
  <c r="D51" i="5"/>
  <c r="C51" i="5"/>
  <c r="B51" i="5"/>
  <c r="A51" i="5"/>
  <c r="L50" i="5"/>
  <c r="K50" i="5"/>
  <c r="H50" i="5"/>
  <c r="G50" i="5"/>
  <c r="F50" i="5"/>
  <c r="E50" i="5"/>
  <c r="D50" i="5"/>
  <c r="C50" i="5"/>
  <c r="B50" i="5"/>
  <c r="A50" i="5"/>
  <c r="L49" i="5"/>
  <c r="K49" i="5"/>
  <c r="H49" i="5"/>
  <c r="G49" i="5"/>
  <c r="F49" i="5"/>
  <c r="E49" i="5"/>
  <c r="D49" i="5"/>
  <c r="C49" i="5"/>
  <c r="B49" i="5"/>
  <c r="A49" i="5"/>
  <c r="L48" i="5"/>
  <c r="K48" i="5"/>
  <c r="H48" i="5"/>
  <c r="G48" i="5"/>
  <c r="F48" i="5"/>
  <c r="E48" i="5"/>
  <c r="D48" i="5"/>
  <c r="C48" i="5"/>
  <c r="B48" i="5"/>
  <c r="A48" i="5"/>
  <c r="L47" i="5"/>
  <c r="K47" i="5"/>
  <c r="H47" i="5"/>
  <c r="G47" i="5"/>
  <c r="F47" i="5"/>
  <c r="E47" i="5"/>
  <c r="D47" i="5"/>
  <c r="C47" i="5"/>
  <c r="B47" i="5"/>
  <c r="A47" i="5"/>
  <c r="L46" i="5"/>
  <c r="K46" i="5"/>
  <c r="H46" i="5"/>
  <c r="G46" i="5"/>
  <c r="F46" i="5"/>
  <c r="E46" i="5"/>
  <c r="D46" i="5"/>
  <c r="C46" i="5"/>
  <c r="B46" i="5"/>
  <c r="A46" i="5"/>
  <c r="L45" i="5"/>
  <c r="K45" i="5"/>
  <c r="H45" i="5"/>
  <c r="G45" i="5"/>
  <c r="F45" i="5"/>
  <c r="E45" i="5"/>
  <c r="D45" i="5"/>
  <c r="C45" i="5"/>
  <c r="B45" i="5"/>
  <c r="A45" i="5"/>
  <c r="L44" i="5"/>
  <c r="K44" i="5"/>
  <c r="H44" i="5"/>
  <c r="G44" i="5"/>
  <c r="F44" i="5"/>
  <c r="E44" i="5"/>
  <c r="D44" i="5"/>
  <c r="C44" i="5"/>
  <c r="B44" i="5"/>
  <c r="A44" i="5"/>
  <c r="L43" i="5"/>
  <c r="K43" i="5"/>
  <c r="H43" i="5"/>
  <c r="G43" i="5"/>
  <c r="F43" i="5"/>
  <c r="E43" i="5"/>
  <c r="D43" i="5"/>
  <c r="C43" i="5"/>
  <c r="B43" i="5"/>
  <c r="A43" i="5"/>
  <c r="L42" i="5"/>
  <c r="K42" i="5"/>
  <c r="H42" i="5"/>
  <c r="G42" i="5"/>
  <c r="F42" i="5"/>
  <c r="E42" i="5"/>
  <c r="D42" i="5"/>
  <c r="C42" i="5"/>
  <c r="B42" i="5"/>
  <c r="A42" i="5"/>
  <c r="L41" i="5"/>
  <c r="K41" i="5"/>
  <c r="H41" i="5"/>
  <c r="G41" i="5"/>
  <c r="F41" i="5"/>
  <c r="E41" i="5"/>
  <c r="D41" i="5"/>
  <c r="C41" i="5"/>
  <c r="B41" i="5"/>
  <c r="A41" i="5"/>
  <c r="L40" i="5"/>
  <c r="K40" i="5"/>
  <c r="H40" i="5"/>
  <c r="G40" i="5"/>
  <c r="F40" i="5"/>
  <c r="E40" i="5"/>
  <c r="D40" i="5"/>
  <c r="C40" i="5"/>
  <c r="B40" i="5"/>
  <c r="A40" i="5"/>
  <c r="L39" i="5"/>
  <c r="K39" i="5"/>
  <c r="H39" i="5"/>
  <c r="G39" i="5"/>
  <c r="F39" i="5"/>
  <c r="E39" i="5"/>
  <c r="D39" i="5"/>
  <c r="C39" i="5"/>
  <c r="B39" i="5"/>
  <c r="A39" i="5"/>
  <c r="L38" i="5"/>
  <c r="K38" i="5"/>
  <c r="H38" i="5"/>
  <c r="G38" i="5"/>
  <c r="F38" i="5"/>
  <c r="E38" i="5"/>
  <c r="D38" i="5"/>
  <c r="C38" i="5"/>
  <c r="B38" i="5"/>
  <c r="A38" i="5"/>
  <c r="L37" i="5"/>
  <c r="K37" i="5"/>
  <c r="H37" i="5"/>
  <c r="G37" i="5"/>
  <c r="F37" i="5"/>
  <c r="E37" i="5"/>
  <c r="D37" i="5"/>
  <c r="C37" i="5"/>
  <c r="B37" i="5"/>
  <c r="A37" i="5"/>
  <c r="L36" i="5"/>
  <c r="K36" i="5"/>
  <c r="H36" i="5"/>
  <c r="G36" i="5"/>
  <c r="F36" i="5"/>
  <c r="E36" i="5"/>
  <c r="D36" i="5"/>
  <c r="C36" i="5"/>
  <c r="B36" i="5"/>
  <c r="A36" i="5"/>
  <c r="L35" i="5"/>
  <c r="K35" i="5"/>
  <c r="H35" i="5"/>
  <c r="G35" i="5"/>
  <c r="F35" i="5"/>
  <c r="E35" i="5"/>
  <c r="D35" i="5"/>
  <c r="C35" i="5"/>
  <c r="B35" i="5"/>
  <c r="A35" i="5"/>
  <c r="L34" i="5"/>
  <c r="K34" i="5"/>
  <c r="H34" i="5"/>
  <c r="G34" i="5"/>
  <c r="F34" i="5"/>
  <c r="E34" i="5"/>
  <c r="D34" i="5"/>
  <c r="C34" i="5"/>
  <c r="B34" i="5"/>
  <c r="A34" i="5"/>
  <c r="L33" i="5"/>
  <c r="K33" i="5"/>
  <c r="H33" i="5"/>
  <c r="G33" i="5"/>
  <c r="F33" i="5"/>
  <c r="E33" i="5"/>
  <c r="D33" i="5"/>
  <c r="C33" i="5"/>
  <c r="B33" i="5"/>
  <c r="A33" i="5"/>
  <c r="L32" i="5"/>
  <c r="K32" i="5"/>
  <c r="H32" i="5"/>
  <c r="G32" i="5"/>
  <c r="F32" i="5"/>
  <c r="E32" i="5"/>
  <c r="D32" i="5"/>
  <c r="C32" i="5"/>
  <c r="B32" i="5"/>
  <c r="A32" i="5"/>
  <c r="L31" i="5"/>
  <c r="K31" i="5"/>
  <c r="H31" i="5"/>
  <c r="G31" i="5"/>
  <c r="F31" i="5"/>
  <c r="E31" i="5"/>
  <c r="D31" i="5"/>
  <c r="C31" i="5"/>
  <c r="B31" i="5"/>
  <c r="A31" i="5"/>
  <c r="L30" i="5"/>
  <c r="K30" i="5"/>
  <c r="H30" i="5"/>
  <c r="G30" i="5"/>
  <c r="F30" i="5"/>
  <c r="E30" i="5"/>
  <c r="D30" i="5"/>
  <c r="C30" i="5"/>
  <c r="B30" i="5"/>
  <c r="A30" i="5"/>
  <c r="L29" i="5"/>
  <c r="K29" i="5"/>
  <c r="H29" i="5"/>
  <c r="G29" i="5"/>
  <c r="F29" i="5"/>
  <c r="E29" i="5"/>
  <c r="D29" i="5"/>
  <c r="C29" i="5"/>
  <c r="B29" i="5"/>
  <c r="A29" i="5"/>
  <c r="L28" i="5"/>
  <c r="K28" i="5"/>
  <c r="H28" i="5"/>
  <c r="G28" i="5"/>
  <c r="F28" i="5"/>
  <c r="E28" i="5"/>
  <c r="D28" i="5"/>
  <c r="C28" i="5"/>
  <c r="B28" i="5"/>
  <c r="A28" i="5"/>
  <c r="L27" i="5"/>
  <c r="K27" i="5"/>
  <c r="H27" i="5"/>
  <c r="G27" i="5"/>
  <c r="F27" i="5"/>
  <c r="E27" i="5"/>
  <c r="D27" i="5"/>
  <c r="C27" i="5"/>
  <c r="B27" i="5"/>
  <c r="A27" i="5"/>
  <c r="L26" i="5"/>
  <c r="K26" i="5"/>
  <c r="H26" i="5"/>
  <c r="G26" i="5"/>
  <c r="F26" i="5"/>
  <c r="E26" i="5"/>
  <c r="D26" i="5"/>
  <c r="C26" i="5"/>
  <c r="B26" i="5"/>
  <c r="A26" i="5"/>
  <c r="L25" i="5"/>
  <c r="K25" i="5"/>
  <c r="H25" i="5"/>
  <c r="G25" i="5"/>
  <c r="F25" i="5"/>
  <c r="E25" i="5"/>
  <c r="D25" i="5"/>
  <c r="C25" i="5"/>
  <c r="B25" i="5"/>
  <c r="A25" i="5"/>
  <c r="L24" i="5"/>
  <c r="K24" i="5"/>
  <c r="H24" i="5"/>
  <c r="G24" i="5"/>
  <c r="F24" i="5"/>
  <c r="E24" i="5"/>
  <c r="D24" i="5"/>
  <c r="C24" i="5"/>
  <c r="B24" i="5"/>
  <c r="A24" i="5"/>
  <c r="L23" i="5"/>
  <c r="K23" i="5"/>
  <c r="H23" i="5"/>
  <c r="G23" i="5"/>
  <c r="F23" i="5"/>
  <c r="E23" i="5"/>
  <c r="D23" i="5"/>
  <c r="C23" i="5"/>
  <c r="B23" i="5"/>
  <c r="A23" i="5"/>
  <c r="L22" i="5"/>
  <c r="K22" i="5"/>
  <c r="H22" i="5"/>
  <c r="G22" i="5"/>
  <c r="F22" i="5"/>
  <c r="E22" i="5"/>
  <c r="D22" i="5"/>
  <c r="C22" i="5"/>
  <c r="B22" i="5"/>
  <c r="A22" i="5"/>
  <c r="L21" i="5"/>
  <c r="K21" i="5"/>
  <c r="H21" i="5"/>
  <c r="G21" i="5"/>
  <c r="F21" i="5"/>
  <c r="E21" i="5"/>
  <c r="D21" i="5"/>
  <c r="C21" i="5"/>
  <c r="B21" i="5"/>
  <c r="A21" i="5"/>
  <c r="L20" i="5"/>
  <c r="K20" i="5"/>
  <c r="H20" i="5"/>
  <c r="G20" i="5"/>
  <c r="F20" i="5"/>
  <c r="E20" i="5"/>
  <c r="D20" i="5"/>
  <c r="C20" i="5"/>
  <c r="B20" i="5"/>
  <c r="A20" i="5"/>
  <c r="L19" i="5"/>
  <c r="K19" i="5"/>
  <c r="H19" i="5"/>
  <c r="G19" i="5"/>
  <c r="F19" i="5"/>
  <c r="E19" i="5"/>
  <c r="D19" i="5"/>
  <c r="C19" i="5"/>
  <c r="B19" i="5"/>
  <c r="A19" i="5"/>
  <c r="L18" i="5"/>
  <c r="K18" i="5"/>
  <c r="H18" i="5"/>
  <c r="G18" i="5"/>
  <c r="F18" i="5"/>
  <c r="E18" i="5"/>
  <c r="D18" i="5"/>
  <c r="C18" i="5"/>
  <c r="B18" i="5"/>
  <c r="A18" i="5"/>
  <c r="L17" i="5"/>
  <c r="K17" i="5"/>
  <c r="H17" i="5"/>
  <c r="G17" i="5"/>
  <c r="F17" i="5"/>
  <c r="E17" i="5"/>
  <c r="D17" i="5"/>
  <c r="C17" i="5"/>
  <c r="B17" i="5"/>
  <c r="A17" i="5"/>
  <c r="L16" i="5"/>
  <c r="K16" i="5"/>
  <c r="H16" i="5"/>
  <c r="G16" i="5"/>
  <c r="F16" i="5"/>
  <c r="E16" i="5"/>
  <c r="D16" i="5"/>
  <c r="C16" i="5"/>
  <c r="B16" i="5"/>
  <c r="A16" i="5"/>
  <c r="L15" i="5"/>
  <c r="K15" i="5"/>
  <c r="H15" i="5"/>
  <c r="G15" i="5"/>
  <c r="F15" i="5"/>
  <c r="E15" i="5"/>
  <c r="D15" i="5"/>
  <c r="C15" i="5"/>
  <c r="B15" i="5"/>
  <c r="A15" i="5"/>
  <c r="L14" i="5"/>
  <c r="K14" i="5"/>
  <c r="H14" i="5"/>
  <c r="G14" i="5"/>
  <c r="F14" i="5"/>
  <c r="E14" i="5"/>
  <c r="D14" i="5"/>
  <c r="C14" i="5"/>
  <c r="B14" i="5"/>
  <c r="A14" i="5"/>
  <c r="L13" i="5"/>
  <c r="K13" i="5"/>
  <c r="H13" i="5"/>
  <c r="G13" i="5"/>
  <c r="F13" i="5"/>
  <c r="E13" i="5"/>
  <c r="D13" i="5"/>
  <c r="C13" i="5"/>
  <c r="B13" i="5"/>
  <c r="A13" i="5"/>
  <c r="L12" i="5"/>
  <c r="K12" i="5"/>
  <c r="H12" i="5"/>
  <c r="G12" i="5"/>
  <c r="F12" i="5"/>
  <c r="E12" i="5"/>
  <c r="D12" i="5"/>
  <c r="C12" i="5"/>
  <c r="B12" i="5"/>
  <c r="A12" i="5"/>
  <c r="L11" i="5"/>
  <c r="K11" i="5"/>
  <c r="H11" i="5"/>
  <c r="G11" i="5"/>
  <c r="F11" i="5"/>
  <c r="E11" i="5"/>
  <c r="D11" i="5"/>
  <c r="C11" i="5"/>
  <c r="B11" i="5"/>
  <c r="A11" i="5"/>
  <c r="L10" i="5"/>
  <c r="K10" i="5"/>
  <c r="H10" i="5"/>
  <c r="G10" i="5"/>
  <c r="F10" i="5"/>
  <c r="E10" i="5"/>
  <c r="D10" i="5"/>
  <c r="C10" i="5"/>
  <c r="B10" i="5"/>
  <c r="A10" i="5"/>
  <c r="L9" i="5"/>
  <c r="K9" i="5"/>
  <c r="H9" i="5"/>
  <c r="G9" i="5"/>
  <c r="F9" i="5"/>
  <c r="E9" i="5"/>
  <c r="D9" i="5"/>
  <c r="C9" i="5"/>
  <c r="B9" i="5"/>
  <c r="A9" i="5"/>
  <c r="L8" i="5"/>
  <c r="K8" i="5"/>
  <c r="H8" i="5"/>
  <c r="G8" i="5"/>
  <c r="F8" i="5"/>
  <c r="E8" i="5"/>
  <c r="D8" i="5"/>
  <c r="C8" i="5"/>
  <c r="B8" i="5"/>
  <c r="A8" i="5"/>
  <c r="K7" i="5"/>
  <c r="H7" i="5"/>
  <c r="G7" i="5"/>
  <c r="F7" i="5"/>
  <c r="E7" i="5"/>
  <c r="D7" i="5"/>
  <c r="C7" i="5"/>
  <c r="B7" i="5"/>
  <c r="A7" i="5"/>
  <c r="J2" i="5"/>
  <c r="D13" i="1" s="1"/>
  <c r="L110" i="4"/>
  <c r="K110" i="4"/>
  <c r="H110" i="4"/>
  <c r="G110" i="4"/>
  <c r="F110" i="4"/>
  <c r="E110" i="4"/>
  <c r="D110" i="4"/>
  <c r="C110" i="4"/>
  <c r="B110" i="4"/>
  <c r="A110" i="4"/>
  <c r="L109" i="4"/>
  <c r="K109" i="4"/>
  <c r="H109" i="4"/>
  <c r="G109" i="4"/>
  <c r="F109" i="4"/>
  <c r="E109" i="4"/>
  <c r="D109" i="4"/>
  <c r="C109" i="4"/>
  <c r="B109" i="4"/>
  <c r="A109" i="4"/>
  <c r="L108" i="4"/>
  <c r="K108" i="4"/>
  <c r="H108" i="4"/>
  <c r="G108" i="4"/>
  <c r="F108" i="4"/>
  <c r="E108" i="4"/>
  <c r="D108" i="4"/>
  <c r="C108" i="4"/>
  <c r="B108" i="4"/>
  <c r="A108" i="4"/>
  <c r="L107" i="4"/>
  <c r="K107" i="4"/>
  <c r="H107" i="4"/>
  <c r="G107" i="4"/>
  <c r="F107" i="4"/>
  <c r="E107" i="4"/>
  <c r="D107" i="4"/>
  <c r="C107" i="4"/>
  <c r="B107" i="4"/>
  <c r="A107" i="4"/>
  <c r="L106" i="4"/>
  <c r="K106" i="4"/>
  <c r="H106" i="4"/>
  <c r="G106" i="4"/>
  <c r="F106" i="4"/>
  <c r="E106" i="4"/>
  <c r="D106" i="4"/>
  <c r="C106" i="4"/>
  <c r="B106" i="4"/>
  <c r="A106" i="4"/>
  <c r="L105" i="4"/>
  <c r="K105" i="4"/>
  <c r="H105" i="4"/>
  <c r="G105" i="4"/>
  <c r="F105" i="4"/>
  <c r="E105" i="4"/>
  <c r="D105" i="4"/>
  <c r="C105" i="4"/>
  <c r="B105" i="4"/>
  <c r="A105" i="4"/>
  <c r="L104" i="4"/>
  <c r="K104" i="4"/>
  <c r="H104" i="4"/>
  <c r="G104" i="4"/>
  <c r="F104" i="4"/>
  <c r="E104" i="4"/>
  <c r="D104" i="4"/>
  <c r="C104" i="4"/>
  <c r="B104" i="4"/>
  <c r="A104" i="4"/>
  <c r="L103" i="4"/>
  <c r="K103" i="4"/>
  <c r="H103" i="4"/>
  <c r="G103" i="4"/>
  <c r="F103" i="4"/>
  <c r="E103" i="4"/>
  <c r="D103" i="4"/>
  <c r="C103" i="4"/>
  <c r="B103" i="4"/>
  <c r="A103" i="4"/>
  <c r="L102" i="4"/>
  <c r="K102" i="4"/>
  <c r="H102" i="4"/>
  <c r="G102" i="4"/>
  <c r="F102" i="4"/>
  <c r="E102" i="4"/>
  <c r="D102" i="4"/>
  <c r="C102" i="4"/>
  <c r="B102" i="4"/>
  <c r="A102" i="4"/>
  <c r="L101" i="4"/>
  <c r="K101" i="4"/>
  <c r="H101" i="4"/>
  <c r="G101" i="4"/>
  <c r="F101" i="4"/>
  <c r="E101" i="4"/>
  <c r="D101" i="4"/>
  <c r="C101" i="4"/>
  <c r="B101" i="4"/>
  <c r="A101" i="4"/>
  <c r="L100" i="4"/>
  <c r="K100" i="4"/>
  <c r="H100" i="4"/>
  <c r="G100" i="4"/>
  <c r="F100" i="4"/>
  <c r="E100" i="4"/>
  <c r="D100" i="4"/>
  <c r="C100" i="4"/>
  <c r="B100" i="4"/>
  <c r="A100" i="4"/>
  <c r="L99" i="4"/>
  <c r="K99" i="4"/>
  <c r="H99" i="4"/>
  <c r="G99" i="4"/>
  <c r="F99" i="4"/>
  <c r="E99" i="4"/>
  <c r="D99" i="4"/>
  <c r="C99" i="4"/>
  <c r="B99" i="4"/>
  <c r="A99" i="4"/>
  <c r="L98" i="4"/>
  <c r="K98" i="4"/>
  <c r="H98" i="4"/>
  <c r="G98" i="4"/>
  <c r="F98" i="4"/>
  <c r="E98" i="4"/>
  <c r="D98" i="4"/>
  <c r="C98" i="4"/>
  <c r="B98" i="4"/>
  <c r="A98" i="4"/>
  <c r="L97" i="4"/>
  <c r="K97" i="4"/>
  <c r="H97" i="4"/>
  <c r="G97" i="4"/>
  <c r="F97" i="4"/>
  <c r="E97" i="4"/>
  <c r="D97" i="4"/>
  <c r="C97" i="4"/>
  <c r="B97" i="4"/>
  <c r="A97" i="4"/>
  <c r="L96" i="4"/>
  <c r="K96" i="4"/>
  <c r="H96" i="4"/>
  <c r="G96" i="4"/>
  <c r="F96" i="4"/>
  <c r="E96" i="4"/>
  <c r="D96" i="4"/>
  <c r="C96" i="4"/>
  <c r="B96" i="4"/>
  <c r="A96" i="4"/>
  <c r="L95" i="4"/>
  <c r="K95" i="4"/>
  <c r="H95" i="4"/>
  <c r="G95" i="4"/>
  <c r="F95" i="4"/>
  <c r="E95" i="4"/>
  <c r="D95" i="4"/>
  <c r="C95" i="4"/>
  <c r="B95" i="4"/>
  <c r="A95" i="4"/>
  <c r="L94" i="4"/>
  <c r="K94" i="4"/>
  <c r="H94" i="4"/>
  <c r="G94" i="4"/>
  <c r="F94" i="4"/>
  <c r="E94" i="4"/>
  <c r="D94" i="4"/>
  <c r="C94" i="4"/>
  <c r="B94" i="4"/>
  <c r="A94" i="4"/>
  <c r="L93" i="4"/>
  <c r="K93" i="4"/>
  <c r="H93" i="4"/>
  <c r="G93" i="4"/>
  <c r="F93" i="4"/>
  <c r="E93" i="4"/>
  <c r="D93" i="4"/>
  <c r="C93" i="4"/>
  <c r="B93" i="4"/>
  <c r="A93" i="4"/>
  <c r="L92" i="4"/>
  <c r="K92" i="4"/>
  <c r="H92" i="4"/>
  <c r="G92" i="4"/>
  <c r="F92" i="4"/>
  <c r="E92" i="4"/>
  <c r="D92" i="4"/>
  <c r="C92" i="4"/>
  <c r="B92" i="4"/>
  <c r="A92" i="4"/>
  <c r="L91" i="4"/>
  <c r="K91" i="4"/>
  <c r="H91" i="4"/>
  <c r="G91" i="4"/>
  <c r="F91" i="4"/>
  <c r="E91" i="4"/>
  <c r="D91" i="4"/>
  <c r="C91" i="4"/>
  <c r="B91" i="4"/>
  <c r="A91" i="4"/>
  <c r="L90" i="4"/>
  <c r="K90" i="4"/>
  <c r="H90" i="4"/>
  <c r="G90" i="4"/>
  <c r="F90" i="4"/>
  <c r="E90" i="4"/>
  <c r="D90" i="4"/>
  <c r="C90" i="4"/>
  <c r="B90" i="4"/>
  <c r="A90" i="4"/>
  <c r="L89" i="4"/>
  <c r="K89" i="4"/>
  <c r="H89" i="4"/>
  <c r="G89" i="4"/>
  <c r="F89" i="4"/>
  <c r="E89" i="4"/>
  <c r="D89" i="4"/>
  <c r="C89" i="4"/>
  <c r="B89" i="4"/>
  <c r="A89" i="4"/>
  <c r="L88" i="4"/>
  <c r="K88" i="4"/>
  <c r="H88" i="4"/>
  <c r="G88" i="4"/>
  <c r="F88" i="4"/>
  <c r="E88" i="4"/>
  <c r="D88" i="4"/>
  <c r="C88" i="4"/>
  <c r="B88" i="4"/>
  <c r="A88" i="4"/>
  <c r="L87" i="4"/>
  <c r="K87" i="4"/>
  <c r="H87" i="4"/>
  <c r="G87" i="4"/>
  <c r="F87" i="4"/>
  <c r="E87" i="4"/>
  <c r="D87" i="4"/>
  <c r="C87" i="4"/>
  <c r="B87" i="4"/>
  <c r="A87" i="4"/>
  <c r="L86" i="4"/>
  <c r="K86" i="4"/>
  <c r="H86" i="4"/>
  <c r="G86" i="4"/>
  <c r="F86" i="4"/>
  <c r="E86" i="4"/>
  <c r="D86" i="4"/>
  <c r="C86" i="4"/>
  <c r="B86" i="4"/>
  <c r="A86" i="4"/>
  <c r="L85" i="4"/>
  <c r="K85" i="4"/>
  <c r="H85" i="4"/>
  <c r="G85" i="4"/>
  <c r="F85" i="4"/>
  <c r="E85" i="4"/>
  <c r="D85" i="4"/>
  <c r="C85" i="4"/>
  <c r="B85" i="4"/>
  <c r="A85" i="4"/>
  <c r="L84" i="4"/>
  <c r="K84" i="4"/>
  <c r="H84" i="4"/>
  <c r="G84" i="4"/>
  <c r="F84" i="4"/>
  <c r="E84" i="4"/>
  <c r="D84" i="4"/>
  <c r="C84" i="4"/>
  <c r="B84" i="4"/>
  <c r="A84" i="4"/>
  <c r="L83" i="4"/>
  <c r="K83" i="4"/>
  <c r="H83" i="4"/>
  <c r="G83" i="4"/>
  <c r="F83" i="4"/>
  <c r="E83" i="4"/>
  <c r="D83" i="4"/>
  <c r="C83" i="4"/>
  <c r="B83" i="4"/>
  <c r="A83" i="4"/>
  <c r="L82" i="4"/>
  <c r="K82" i="4"/>
  <c r="H82" i="4"/>
  <c r="G82" i="4"/>
  <c r="F82" i="4"/>
  <c r="E82" i="4"/>
  <c r="D82" i="4"/>
  <c r="C82" i="4"/>
  <c r="B82" i="4"/>
  <c r="A82" i="4"/>
  <c r="L81" i="4"/>
  <c r="K81" i="4"/>
  <c r="H81" i="4"/>
  <c r="G81" i="4"/>
  <c r="F81" i="4"/>
  <c r="E81" i="4"/>
  <c r="D81" i="4"/>
  <c r="C81" i="4"/>
  <c r="B81" i="4"/>
  <c r="A81" i="4"/>
  <c r="L80" i="4"/>
  <c r="K80" i="4"/>
  <c r="H80" i="4"/>
  <c r="G80" i="4"/>
  <c r="F80" i="4"/>
  <c r="E80" i="4"/>
  <c r="D80" i="4"/>
  <c r="C80" i="4"/>
  <c r="B80" i="4"/>
  <c r="A80" i="4"/>
  <c r="L79" i="4"/>
  <c r="K79" i="4"/>
  <c r="H79" i="4"/>
  <c r="G79" i="4"/>
  <c r="F79" i="4"/>
  <c r="E79" i="4"/>
  <c r="D79" i="4"/>
  <c r="C79" i="4"/>
  <c r="B79" i="4"/>
  <c r="A79" i="4"/>
  <c r="L78" i="4"/>
  <c r="K78" i="4"/>
  <c r="H78" i="4"/>
  <c r="G78" i="4"/>
  <c r="F78" i="4"/>
  <c r="E78" i="4"/>
  <c r="D78" i="4"/>
  <c r="C78" i="4"/>
  <c r="B78" i="4"/>
  <c r="A78" i="4"/>
  <c r="L77" i="4"/>
  <c r="K77" i="4"/>
  <c r="H77" i="4"/>
  <c r="G77" i="4"/>
  <c r="F77" i="4"/>
  <c r="E77" i="4"/>
  <c r="D77" i="4"/>
  <c r="C77" i="4"/>
  <c r="B77" i="4"/>
  <c r="A77" i="4"/>
  <c r="L76" i="4"/>
  <c r="K76" i="4"/>
  <c r="H76" i="4"/>
  <c r="G76" i="4"/>
  <c r="F76" i="4"/>
  <c r="E76" i="4"/>
  <c r="D76" i="4"/>
  <c r="C76" i="4"/>
  <c r="B76" i="4"/>
  <c r="A76" i="4"/>
  <c r="L75" i="4"/>
  <c r="K75" i="4"/>
  <c r="H75" i="4"/>
  <c r="G75" i="4"/>
  <c r="F75" i="4"/>
  <c r="E75" i="4"/>
  <c r="D75" i="4"/>
  <c r="C75" i="4"/>
  <c r="B75" i="4"/>
  <c r="A75" i="4"/>
  <c r="L74" i="4"/>
  <c r="K74" i="4"/>
  <c r="H74" i="4"/>
  <c r="G74" i="4"/>
  <c r="F74" i="4"/>
  <c r="E74" i="4"/>
  <c r="D74" i="4"/>
  <c r="C74" i="4"/>
  <c r="B74" i="4"/>
  <c r="A74" i="4"/>
  <c r="L73" i="4"/>
  <c r="K73" i="4"/>
  <c r="H73" i="4"/>
  <c r="G73" i="4"/>
  <c r="F73" i="4"/>
  <c r="E73" i="4"/>
  <c r="D73" i="4"/>
  <c r="C73" i="4"/>
  <c r="B73" i="4"/>
  <c r="A73" i="4"/>
  <c r="L72" i="4"/>
  <c r="K72" i="4"/>
  <c r="H72" i="4"/>
  <c r="G72" i="4"/>
  <c r="F72" i="4"/>
  <c r="E72" i="4"/>
  <c r="D72" i="4"/>
  <c r="C72" i="4"/>
  <c r="B72" i="4"/>
  <c r="A72" i="4"/>
  <c r="L71" i="4"/>
  <c r="K71" i="4"/>
  <c r="H71" i="4"/>
  <c r="G71" i="4"/>
  <c r="F71" i="4"/>
  <c r="E71" i="4"/>
  <c r="D71" i="4"/>
  <c r="C71" i="4"/>
  <c r="B71" i="4"/>
  <c r="A71" i="4"/>
  <c r="L70" i="4"/>
  <c r="K70" i="4"/>
  <c r="H70" i="4"/>
  <c r="G70" i="4"/>
  <c r="F70" i="4"/>
  <c r="E70" i="4"/>
  <c r="D70" i="4"/>
  <c r="C70" i="4"/>
  <c r="B70" i="4"/>
  <c r="A70" i="4"/>
  <c r="L69" i="4"/>
  <c r="K69" i="4"/>
  <c r="H69" i="4"/>
  <c r="G69" i="4"/>
  <c r="F69" i="4"/>
  <c r="E69" i="4"/>
  <c r="D69" i="4"/>
  <c r="C69" i="4"/>
  <c r="B69" i="4"/>
  <c r="A69" i="4"/>
  <c r="L68" i="4"/>
  <c r="K68" i="4"/>
  <c r="H68" i="4"/>
  <c r="G68" i="4"/>
  <c r="F68" i="4"/>
  <c r="E68" i="4"/>
  <c r="D68" i="4"/>
  <c r="C68" i="4"/>
  <c r="B68" i="4"/>
  <c r="A68" i="4"/>
  <c r="L67" i="4"/>
  <c r="K67" i="4"/>
  <c r="H67" i="4"/>
  <c r="G67" i="4"/>
  <c r="F67" i="4"/>
  <c r="E67" i="4"/>
  <c r="D67" i="4"/>
  <c r="C67" i="4"/>
  <c r="B67" i="4"/>
  <c r="A67" i="4"/>
  <c r="L66" i="4"/>
  <c r="K66" i="4"/>
  <c r="H66" i="4"/>
  <c r="G66" i="4"/>
  <c r="F66" i="4"/>
  <c r="E66" i="4"/>
  <c r="D66" i="4"/>
  <c r="C66" i="4"/>
  <c r="B66" i="4"/>
  <c r="A66" i="4"/>
  <c r="L65" i="4"/>
  <c r="K65" i="4"/>
  <c r="H65" i="4"/>
  <c r="G65" i="4"/>
  <c r="F65" i="4"/>
  <c r="E65" i="4"/>
  <c r="D65" i="4"/>
  <c r="C65" i="4"/>
  <c r="B65" i="4"/>
  <c r="A65" i="4"/>
  <c r="L64" i="4"/>
  <c r="K64" i="4"/>
  <c r="H64" i="4"/>
  <c r="G64" i="4"/>
  <c r="F64" i="4"/>
  <c r="E64" i="4"/>
  <c r="D64" i="4"/>
  <c r="C64" i="4"/>
  <c r="B64" i="4"/>
  <c r="A64" i="4"/>
  <c r="L63" i="4"/>
  <c r="K63" i="4"/>
  <c r="H63" i="4"/>
  <c r="G63" i="4"/>
  <c r="F63" i="4"/>
  <c r="E63" i="4"/>
  <c r="D63" i="4"/>
  <c r="C63" i="4"/>
  <c r="B63" i="4"/>
  <c r="A63" i="4"/>
  <c r="L62" i="4"/>
  <c r="K62" i="4"/>
  <c r="H62" i="4"/>
  <c r="G62" i="4"/>
  <c r="F62" i="4"/>
  <c r="E62" i="4"/>
  <c r="D62" i="4"/>
  <c r="C62" i="4"/>
  <c r="B62" i="4"/>
  <c r="A62" i="4"/>
  <c r="L61" i="4"/>
  <c r="K61" i="4"/>
  <c r="H61" i="4"/>
  <c r="G61" i="4"/>
  <c r="F61" i="4"/>
  <c r="E61" i="4"/>
  <c r="D61" i="4"/>
  <c r="C61" i="4"/>
  <c r="B61" i="4"/>
  <c r="A61" i="4"/>
  <c r="L60" i="4"/>
  <c r="K60" i="4"/>
  <c r="H60" i="4"/>
  <c r="G60" i="4"/>
  <c r="F60" i="4"/>
  <c r="E60" i="4"/>
  <c r="D60" i="4"/>
  <c r="C60" i="4"/>
  <c r="B60" i="4"/>
  <c r="A60" i="4"/>
  <c r="L59" i="4"/>
  <c r="K59" i="4"/>
  <c r="H59" i="4"/>
  <c r="G59" i="4"/>
  <c r="F59" i="4"/>
  <c r="E59" i="4"/>
  <c r="D59" i="4"/>
  <c r="C59" i="4"/>
  <c r="B59" i="4"/>
  <c r="A59" i="4"/>
  <c r="L58" i="4"/>
  <c r="K58" i="4"/>
  <c r="H58" i="4"/>
  <c r="G58" i="4"/>
  <c r="F58" i="4"/>
  <c r="E58" i="4"/>
  <c r="D58" i="4"/>
  <c r="C58" i="4"/>
  <c r="B58" i="4"/>
  <c r="A58" i="4"/>
  <c r="L57" i="4"/>
  <c r="K57" i="4"/>
  <c r="H57" i="4"/>
  <c r="G57" i="4"/>
  <c r="F57" i="4"/>
  <c r="E57" i="4"/>
  <c r="D57" i="4"/>
  <c r="C57" i="4"/>
  <c r="B57" i="4"/>
  <c r="A57" i="4"/>
  <c r="L56" i="4"/>
  <c r="K56" i="4"/>
  <c r="H56" i="4"/>
  <c r="G56" i="4"/>
  <c r="F56" i="4"/>
  <c r="E56" i="4"/>
  <c r="D56" i="4"/>
  <c r="C56" i="4"/>
  <c r="B56" i="4"/>
  <c r="A56" i="4"/>
  <c r="L55" i="4"/>
  <c r="K55" i="4"/>
  <c r="H55" i="4"/>
  <c r="G55" i="4"/>
  <c r="F55" i="4"/>
  <c r="E55" i="4"/>
  <c r="D55" i="4"/>
  <c r="C55" i="4"/>
  <c r="B55" i="4"/>
  <c r="A55" i="4"/>
  <c r="L54" i="4"/>
  <c r="K54" i="4"/>
  <c r="H54" i="4"/>
  <c r="G54" i="4"/>
  <c r="F54" i="4"/>
  <c r="E54" i="4"/>
  <c r="D54" i="4"/>
  <c r="C54" i="4"/>
  <c r="B54" i="4"/>
  <c r="A54" i="4"/>
  <c r="L53" i="4"/>
  <c r="K53" i="4"/>
  <c r="H53" i="4"/>
  <c r="G53" i="4"/>
  <c r="F53" i="4"/>
  <c r="E53" i="4"/>
  <c r="D53" i="4"/>
  <c r="C53" i="4"/>
  <c r="B53" i="4"/>
  <c r="A53" i="4"/>
  <c r="L52" i="4"/>
  <c r="K52" i="4"/>
  <c r="H52" i="4"/>
  <c r="G52" i="4"/>
  <c r="F52" i="4"/>
  <c r="E52" i="4"/>
  <c r="D52" i="4"/>
  <c r="C52" i="4"/>
  <c r="B52" i="4"/>
  <c r="A52" i="4"/>
  <c r="L51" i="4"/>
  <c r="K51" i="4"/>
  <c r="H51" i="4"/>
  <c r="G51" i="4"/>
  <c r="F51" i="4"/>
  <c r="E51" i="4"/>
  <c r="D51" i="4"/>
  <c r="C51" i="4"/>
  <c r="B51" i="4"/>
  <c r="A51" i="4"/>
  <c r="L50" i="4"/>
  <c r="K50" i="4"/>
  <c r="H50" i="4"/>
  <c r="G50" i="4"/>
  <c r="F50" i="4"/>
  <c r="E50" i="4"/>
  <c r="D50" i="4"/>
  <c r="C50" i="4"/>
  <c r="B50" i="4"/>
  <c r="A50" i="4"/>
  <c r="L49" i="4"/>
  <c r="K49" i="4"/>
  <c r="H49" i="4"/>
  <c r="G49" i="4"/>
  <c r="F49" i="4"/>
  <c r="E49" i="4"/>
  <c r="D49" i="4"/>
  <c r="C49" i="4"/>
  <c r="B49" i="4"/>
  <c r="A49" i="4"/>
  <c r="L48" i="4"/>
  <c r="K48" i="4"/>
  <c r="H48" i="4"/>
  <c r="G48" i="4"/>
  <c r="F48" i="4"/>
  <c r="E48" i="4"/>
  <c r="D48" i="4"/>
  <c r="C48" i="4"/>
  <c r="B48" i="4"/>
  <c r="A48" i="4"/>
  <c r="L47" i="4"/>
  <c r="K47" i="4"/>
  <c r="H47" i="4"/>
  <c r="G47" i="4"/>
  <c r="F47" i="4"/>
  <c r="E47" i="4"/>
  <c r="D47" i="4"/>
  <c r="C47" i="4"/>
  <c r="B47" i="4"/>
  <c r="A47" i="4"/>
  <c r="L46" i="4"/>
  <c r="K46" i="4"/>
  <c r="H46" i="4"/>
  <c r="G46" i="4"/>
  <c r="F46" i="4"/>
  <c r="E46" i="4"/>
  <c r="D46" i="4"/>
  <c r="C46" i="4"/>
  <c r="B46" i="4"/>
  <c r="A46" i="4"/>
  <c r="L45" i="4"/>
  <c r="K45" i="4"/>
  <c r="H45" i="4"/>
  <c r="G45" i="4"/>
  <c r="F45" i="4"/>
  <c r="E45" i="4"/>
  <c r="D45" i="4"/>
  <c r="C45" i="4"/>
  <c r="B45" i="4"/>
  <c r="A45" i="4"/>
  <c r="L44" i="4"/>
  <c r="K44" i="4"/>
  <c r="H44" i="4"/>
  <c r="G44" i="4"/>
  <c r="F44" i="4"/>
  <c r="E44" i="4"/>
  <c r="D44" i="4"/>
  <c r="C44" i="4"/>
  <c r="B44" i="4"/>
  <c r="A44" i="4"/>
  <c r="L43" i="4"/>
  <c r="K43" i="4"/>
  <c r="H43" i="4"/>
  <c r="G43" i="4"/>
  <c r="F43" i="4"/>
  <c r="E43" i="4"/>
  <c r="D43" i="4"/>
  <c r="C43" i="4"/>
  <c r="B43" i="4"/>
  <c r="A43" i="4"/>
  <c r="L42" i="4"/>
  <c r="K42" i="4"/>
  <c r="H42" i="4"/>
  <c r="G42" i="4"/>
  <c r="F42" i="4"/>
  <c r="E42" i="4"/>
  <c r="D42" i="4"/>
  <c r="C42" i="4"/>
  <c r="B42" i="4"/>
  <c r="A42" i="4"/>
  <c r="L41" i="4"/>
  <c r="K41" i="4"/>
  <c r="H41" i="4"/>
  <c r="G41" i="4"/>
  <c r="F41" i="4"/>
  <c r="E41" i="4"/>
  <c r="D41" i="4"/>
  <c r="C41" i="4"/>
  <c r="B41" i="4"/>
  <c r="A41" i="4"/>
  <c r="L40" i="4"/>
  <c r="K40" i="4"/>
  <c r="H40" i="4"/>
  <c r="G40" i="4"/>
  <c r="F40" i="4"/>
  <c r="E40" i="4"/>
  <c r="D40" i="4"/>
  <c r="C40" i="4"/>
  <c r="B40" i="4"/>
  <c r="A40" i="4"/>
  <c r="L39" i="4"/>
  <c r="K39" i="4"/>
  <c r="H39" i="4"/>
  <c r="G39" i="4"/>
  <c r="F39" i="4"/>
  <c r="E39" i="4"/>
  <c r="D39" i="4"/>
  <c r="C39" i="4"/>
  <c r="B39" i="4"/>
  <c r="A39" i="4"/>
  <c r="L38" i="4"/>
  <c r="K38" i="4"/>
  <c r="H38" i="4"/>
  <c r="G38" i="4"/>
  <c r="F38" i="4"/>
  <c r="E38" i="4"/>
  <c r="D38" i="4"/>
  <c r="C38" i="4"/>
  <c r="B38" i="4"/>
  <c r="A38" i="4"/>
  <c r="L37" i="4"/>
  <c r="K37" i="4"/>
  <c r="H37" i="4"/>
  <c r="G37" i="4"/>
  <c r="F37" i="4"/>
  <c r="E37" i="4"/>
  <c r="D37" i="4"/>
  <c r="C37" i="4"/>
  <c r="B37" i="4"/>
  <c r="A37" i="4"/>
  <c r="L36" i="4"/>
  <c r="K36" i="4"/>
  <c r="H36" i="4"/>
  <c r="G36" i="4"/>
  <c r="F36" i="4"/>
  <c r="E36" i="4"/>
  <c r="D36" i="4"/>
  <c r="C36" i="4"/>
  <c r="B36" i="4"/>
  <c r="A36" i="4"/>
  <c r="L35" i="4"/>
  <c r="K35" i="4"/>
  <c r="H35" i="4"/>
  <c r="G35" i="4"/>
  <c r="F35" i="4"/>
  <c r="E35" i="4"/>
  <c r="D35" i="4"/>
  <c r="C35" i="4"/>
  <c r="B35" i="4"/>
  <c r="A35" i="4"/>
  <c r="L34" i="4"/>
  <c r="K34" i="4"/>
  <c r="H34" i="4"/>
  <c r="G34" i="4"/>
  <c r="F34" i="4"/>
  <c r="E34" i="4"/>
  <c r="D34" i="4"/>
  <c r="C34" i="4"/>
  <c r="B34" i="4"/>
  <c r="A34" i="4"/>
  <c r="L33" i="4"/>
  <c r="K33" i="4"/>
  <c r="H33" i="4"/>
  <c r="G33" i="4"/>
  <c r="F33" i="4"/>
  <c r="E33" i="4"/>
  <c r="D33" i="4"/>
  <c r="C33" i="4"/>
  <c r="B33" i="4"/>
  <c r="A33" i="4"/>
  <c r="L32" i="4"/>
  <c r="K32" i="4"/>
  <c r="H32" i="4"/>
  <c r="G32" i="4"/>
  <c r="F32" i="4"/>
  <c r="E32" i="4"/>
  <c r="D32" i="4"/>
  <c r="C32" i="4"/>
  <c r="B32" i="4"/>
  <c r="A32" i="4"/>
  <c r="L31" i="4"/>
  <c r="K31" i="4"/>
  <c r="H31" i="4"/>
  <c r="G31" i="4"/>
  <c r="F31" i="4"/>
  <c r="E31" i="4"/>
  <c r="D31" i="4"/>
  <c r="C31" i="4"/>
  <c r="B31" i="4"/>
  <c r="A31" i="4"/>
  <c r="L30" i="4"/>
  <c r="K30" i="4"/>
  <c r="H30" i="4"/>
  <c r="G30" i="4"/>
  <c r="F30" i="4"/>
  <c r="E30" i="4"/>
  <c r="D30" i="4"/>
  <c r="C30" i="4"/>
  <c r="B30" i="4"/>
  <c r="A30" i="4"/>
  <c r="L29" i="4"/>
  <c r="K29" i="4"/>
  <c r="H29" i="4"/>
  <c r="G29" i="4"/>
  <c r="F29" i="4"/>
  <c r="E29" i="4"/>
  <c r="D29" i="4"/>
  <c r="C29" i="4"/>
  <c r="B29" i="4"/>
  <c r="A29" i="4"/>
  <c r="L28" i="4"/>
  <c r="K28" i="4"/>
  <c r="H28" i="4"/>
  <c r="G28" i="4"/>
  <c r="F28" i="4"/>
  <c r="E28" i="4"/>
  <c r="D28" i="4"/>
  <c r="C28" i="4"/>
  <c r="B28" i="4"/>
  <c r="A28" i="4"/>
  <c r="L27" i="4"/>
  <c r="K27" i="4"/>
  <c r="H27" i="4"/>
  <c r="G27" i="4"/>
  <c r="F27" i="4"/>
  <c r="E27" i="4"/>
  <c r="D27" i="4"/>
  <c r="C27" i="4"/>
  <c r="B27" i="4"/>
  <c r="A27" i="4"/>
  <c r="L26" i="4"/>
  <c r="K26" i="4"/>
  <c r="H26" i="4"/>
  <c r="G26" i="4"/>
  <c r="F26" i="4"/>
  <c r="E26" i="4"/>
  <c r="D26" i="4"/>
  <c r="C26" i="4"/>
  <c r="B26" i="4"/>
  <c r="A26" i="4"/>
  <c r="L25" i="4"/>
  <c r="K25" i="4"/>
  <c r="H25" i="4"/>
  <c r="G25" i="4"/>
  <c r="F25" i="4"/>
  <c r="E25" i="4"/>
  <c r="D25" i="4"/>
  <c r="C25" i="4"/>
  <c r="B25" i="4"/>
  <c r="A25" i="4"/>
  <c r="L24" i="4"/>
  <c r="K24" i="4"/>
  <c r="H24" i="4"/>
  <c r="G24" i="4"/>
  <c r="F24" i="4"/>
  <c r="E24" i="4"/>
  <c r="D24" i="4"/>
  <c r="C24" i="4"/>
  <c r="B24" i="4"/>
  <c r="A24" i="4"/>
  <c r="L23" i="4"/>
  <c r="K23" i="4"/>
  <c r="H23" i="4"/>
  <c r="G23" i="4"/>
  <c r="F23" i="4"/>
  <c r="E23" i="4"/>
  <c r="D23" i="4"/>
  <c r="C23" i="4"/>
  <c r="B23" i="4"/>
  <c r="A23" i="4"/>
  <c r="L22" i="4"/>
  <c r="K22" i="4"/>
  <c r="H22" i="4"/>
  <c r="G22" i="4"/>
  <c r="F22" i="4"/>
  <c r="E22" i="4"/>
  <c r="D22" i="4"/>
  <c r="C22" i="4"/>
  <c r="B22" i="4"/>
  <c r="A22" i="4"/>
  <c r="L21" i="4"/>
  <c r="K21" i="4"/>
  <c r="H21" i="4"/>
  <c r="G21" i="4"/>
  <c r="F21" i="4"/>
  <c r="E21" i="4"/>
  <c r="D21" i="4"/>
  <c r="C21" i="4"/>
  <c r="B21" i="4"/>
  <c r="A21" i="4"/>
  <c r="L20" i="4"/>
  <c r="K20" i="4"/>
  <c r="H20" i="4"/>
  <c r="G20" i="4"/>
  <c r="F20" i="4"/>
  <c r="E20" i="4"/>
  <c r="D20" i="4"/>
  <c r="C20" i="4"/>
  <c r="B20" i="4"/>
  <c r="A20" i="4"/>
  <c r="L19" i="4"/>
  <c r="K19" i="4"/>
  <c r="H19" i="4"/>
  <c r="G19" i="4"/>
  <c r="F19" i="4"/>
  <c r="E19" i="4"/>
  <c r="D19" i="4"/>
  <c r="C19" i="4"/>
  <c r="B19" i="4"/>
  <c r="A19" i="4"/>
  <c r="L18" i="4"/>
  <c r="K18" i="4"/>
  <c r="H18" i="4"/>
  <c r="G18" i="4"/>
  <c r="F18" i="4"/>
  <c r="E18" i="4"/>
  <c r="D18" i="4"/>
  <c r="C18" i="4"/>
  <c r="B18" i="4"/>
  <c r="A18" i="4"/>
  <c r="L17" i="4"/>
  <c r="K17" i="4"/>
  <c r="H17" i="4"/>
  <c r="G17" i="4"/>
  <c r="F17" i="4"/>
  <c r="E17" i="4"/>
  <c r="D17" i="4"/>
  <c r="C17" i="4"/>
  <c r="B17" i="4"/>
  <c r="A17" i="4"/>
  <c r="L16" i="4"/>
  <c r="K16" i="4"/>
  <c r="H16" i="4"/>
  <c r="G16" i="4"/>
  <c r="F16" i="4"/>
  <c r="E16" i="4"/>
  <c r="D16" i="4"/>
  <c r="C16" i="4"/>
  <c r="B16" i="4"/>
  <c r="A16" i="4"/>
  <c r="L15" i="4"/>
  <c r="K15" i="4"/>
  <c r="H15" i="4"/>
  <c r="G15" i="4"/>
  <c r="F15" i="4"/>
  <c r="E15" i="4"/>
  <c r="D15" i="4"/>
  <c r="C15" i="4"/>
  <c r="B15" i="4"/>
  <c r="A15" i="4"/>
  <c r="L14" i="4"/>
  <c r="K14" i="4"/>
  <c r="H14" i="4"/>
  <c r="G14" i="4"/>
  <c r="F14" i="4"/>
  <c r="E14" i="4"/>
  <c r="D14" i="4"/>
  <c r="C14" i="4"/>
  <c r="B14" i="4"/>
  <c r="A14" i="4"/>
  <c r="L13" i="4"/>
  <c r="K13" i="4"/>
  <c r="H13" i="4"/>
  <c r="G13" i="4"/>
  <c r="F13" i="4"/>
  <c r="E13" i="4"/>
  <c r="D13" i="4"/>
  <c r="C13" i="4"/>
  <c r="B13" i="4"/>
  <c r="A13" i="4"/>
  <c r="L12" i="4"/>
  <c r="K12" i="4"/>
  <c r="H12" i="4"/>
  <c r="G12" i="4"/>
  <c r="F12" i="4"/>
  <c r="E12" i="4"/>
  <c r="D12" i="4"/>
  <c r="C12" i="4"/>
  <c r="B12" i="4"/>
  <c r="A12" i="4"/>
  <c r="L11" i="4"/>
  <c r="K11" i="4"/>
  <c r="H11" i="4"/>
  <c r="G11" i="4"/>
  <c r="F11" i="4"/>
  <c r="E11" i="4"/>
  <c r="D11" i="4"/>
  <c r="C11" i="4"/>
  <c r="B11" i="4"/>
  <c r="A11" i="4"/>
  <c r="L10" i="4"/>
  <c r="K10" i="4"/>
  <c r="H10" i="4"/>
  <c r="G10" i="4"/>
  <c r="F10" i="4"/>
  <c r="E10" i="4"/>
  <c r="D10" i="4"/>
  <c r="C10" i="4"/>
  <c r="B10" i="4"/>
  <c r="A10" i="4"/>
  <c r="L9" i="4"/>
  <c r="K9" i="4"/>
  <c r="H9" i="4"/>
  <c r="G9" i="4"/>
  <c r="F9" i="4"/>
  <c r="E9" i="4"/>
  <c r="D9" i="4"/>
  <c r="C9" i="4"/>
  <c r="B9" i="4"/>
  <c r="A9" i="4"/>
  <c r="L8" i="4"/>
  <c r="K8" i="4"/>
  <c r="H8" i="4"/>
  <c r="G8" i="4"/>
  <c r="F8" i="4"/>
  <c r="E8" i="4"/>
  <c r="D8" i="4"/>
  <c r="C8" i="4"/>
  <c r="B8" i="4"/>
  <c r="A8" i="4"/>
  <c r="K7" i="4"/>
  <c r="H7" i="4"/>
  <c r="G7" i="4"/>
  <c r="F7" i="4"/>
  <c r="E7" i="4"/>
  <c r="D7" i="4"/>
  <c r="C7" i="4"/>
  <c r="B7" i="4"/>
  <c r="A7" i="4"/>
  <c r="J2" i="4"/>
  <c r="D12" i="1" s="1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B41" i="1"/>
  <c r="B40" i="1"/>
  <c r="B39" i="1"/>
  <c r="B38" i="1"/>
  <c r="B37" i="1"/>
  <c r="B36" i="1"/>
  <c r="B35" i="1"/>
  <c r="B34" i="1"/>
  <c r="B33" i="1"/>
  <c r="B32" i="1"/>
  <c r="D31" i="1"/>
  <c r="B31" i="1"/>
  <c r="B30" i="1"/>
  <c r="B29" i="1"/>
  <c r="B28" i="1"/>
  <c r="B27" i="1"/>
  <c r="B26" i="1"/>
  <c r="B25" i="1"/>
  <c r="B24" i="1"/>
  <c r="N23" i="1"/>
  <c r="B23" i="1"/>
  <c r="N22" i="1"/>
  <c r="B22" i="1"/>
  <c r="N21" i="1"/>
  <c r="B21" i="1"/>
  <c r="N20" i="1"/>
  <c r="I20" i="1"/>
  <c r="B20" i="1"/>
  <c r="N19" i="1"/>
  <c r="I19" i="1"/>
  <c r="B19" i="1"/>
  <c r="B18" i="1"/>
  <c r="B17" i="1"/>
  <c r="B16" i="1"/>
  <c r="B15" i="1"/>
  <c r="B14" i="1"/>
  <c r="B13" i="1"/>
  <c r="B12" i="1"/>
  <c r="B5" i="1"/>
  <c r="L2" i="33" l="1"/>
  <c r="E41" i="1" s="1"/>
  <c r="L7" i="19"/>
  <c r="L7" i="16"/>
  <c r="L7" i="13"/>
  <c r="G2" i="13" s="1"/>
  <c r="C21" i="1" s="1"/>
  <c r="L7" i="33"/>
  <c r="G2" i="33" s="1"/>
  <c r="C41" i="1" s="1"/>
  <c r="L7" i="10"/>
  <c r="G2" i="10" s="1"/>
  <c r="C18" i="1" s="1"/>
  <c r="L7" i="7"/>
  <c r="G2" i="7" s="1"/>
  <c r="C15" i="1" s="1"/>
  <c r="L7" i="4"/>
  <c r="G2" i="4" s="1"/>
  <c r="C12" i="1" s="1"/>
  <c r="G2" i="19"/>
  <c r="C27" i="1" s="1"/>
  <c r="G2" i="16"/>
  <c r="C24" i="1" s="1"/>
  <c r="L7" i="5"/>
  <c r="G2" i="5" s="1"/>
  <c r="C13" i="1" s="1"/>
  <c r="L7" i="30"/>
  <c r="G2" i="30" s="1"/>
  <c r="C38" i="1" s="1"/>
  <c r="L7" i="27"/>
  <c r="G2" i="27" s="1"/>
  <c r="C35" i="1" s="1"/>
  <c r="L7" i="11"/>
  <c r="G2" i="11" s="1"/>
  <c r="C19" i="1" s="1"/>
  <c r="L2" i="28"/>
  <c r="E36" i="1" s="1"/>
  <c r="L7" i="8"/>
  <c r="G2" i="8" s="1"/>
  <c r="C16" i="1" s="1"/>
  <c r="L7" i="6"/>
  <c r="G2" i="6" s="1"/>
  <c r="C14" i="1" s="1"/>
  <c r="L7" i="9"/>
  <c r="G2" i="9" s="1"/>
  <c r="C17" i="1" s="1"/>
  <c r="L7" i="25"/>
  <c r="G2" i="25" s="1"/>
  <c r="C33" i="1" s="1"/>
  <c r="L2" i="7"/>
  <c r="E15" i="1" s="1"/>
  <c r="L7" i="18"/>
  <c r="G2" i="18" s="1"/>
  <c r="C26" i="1" s="1"/>
  <c r="L7" i="32"/>
  <c r="G2" i="32" s="1"/>
  <c r="C40" i="1" s="1"/>
  <c r="L7" i="21"/>
  <c r="G2" i="21" s="1"/>
  <c r="C29" i="1" s="1"/>
  <c r="L7" i="24"/>
  <c r="G2" i="24" s="1"/>
  <c r="C32" i="1" s="1"/>
  <c r="L2" i="11"/>
  <c r="E19" i="1" s="1"/>
  <c r="L7" i="22"/>
  <c r="G2" i="22" s="1"/>
  <c r="C30" i="1" s="1"/>
  <c r="L7" i="14"/>
  <c r="G2" i="14" s="1"/>
  <c r="C22" i="1" s="1"/>
  <c r="L7" i="28"/>
  <c r="G2" i="28" s="1"/>
  <c r="C36" i="1" s="1"/>
  <c r="L7" i="17"/>
  <c r="G2" i="17" s="1"/>
  <c r="C25" i="1" s="1"/>
  <c r="L7" i="31"/>
  <c r="G2" i="31" s="1"/>
  <c r="C39" i="1" s="1"/>
  <c r="L7" i="20"/>
  <c r="G2" i="20" s="1"/>
  <c r="C28" i="1" s="1"/>
  <c r="L7" i="23"/>
  <c r="G2" i="23" s="1"/>
  <c r="C31" i="1" s="1"/>
  <c r="L7" i="12"/>
  <c r="G2" i="12" s="1"/>
  <c r="C20" i="1" s="1"/>
  <c r="L7" i="26"/>
  <c r="G2" i="26" s="1"/>
  <c r="C34" i="1" s="1"/>
  <c r="L7" i="15"/>
  <c r="G2" i="15" s="1"/>
  <c r="C23" i="1" s="1"/>
  <c r="L7" i="29"/>
  <c r="G2" i="29" s="1"/>
  <c r="C37" i="1" s="1"/>
  <c r="L2" i="13"/>
  <c r="E21" i="1" s="1"/>
  <c r="L2" i="9"/>
  <c r="E17" i="1" s="1"/>
  <c r="L2" i="5"/>
  <c r="E13" i="1" s="1"/>
  <c r="I22" i="1"/>
  <c r="L2" i="4"/>
  <c r="E12" i="1" s="1"/>
  <c r="I21" i="1"/>
  <c r="L2" i="6"/>
  <c r="E14" i="1" s="1"/>
  <c r="L2" i="26"/>
  <c r="E34" i="1" s="1"/>
  <c r="L19" i="1"/>
  <c r="L21" i="1"/>
  <c r="I23" i="1"/>
  <c r="L2" i="8"/>
  <c r="E16" i="1" s="1"/>
  <c r="L2" i="12"/>
  <c r="E20" i="1" s="1"/>
  <c r="L2" i="14"/>
  <c r="E22" i="1" s="1"/>
  <c r="L2" i="16"/>
  <c r="E24" i="1" s="1"/>
  <c r="L2" i="18"/>
  <c r="E26" i="1" s="1"/>
  <c r="L2" i="22"/>
  <c r="E30" i="1" s="1"/>
  <c r="L2" i="32"/>
  <c r="E40" i="1" s="1"/>
  <c r="L20" i="1"/>
  <c r="L2" i="24"/>
  <c r="E32" i="1" s="1"/>
  <c r="L2" i="30"/>
  <c r="E38" i="1" s="1"/>
  <c r="L2" i="15"/>
  <c r="E23" i="1" s="1"/>
  <c r="L2" i="17"/>
  <c r="E25" i="1" s="1"/>
  <c r="L2" i="19"/>
  <c r="E27" i="1" s="1"/>
  <c r="L2" i="21"/>
  <c r="E29" i="1" s="1"/>
  <c r="L2" i="23"/>
  <c r="E31" i="1" s="1"/>
  <c r="L2" i="25"/>
  <c r="E33" i="1" s="1"/>
  <c r="L2" i="27"/>
  <c r="E35" i="1" s="1"/>
  <c r="L2" i="29"/>
  <c r="E37" i="1" s="1"/>
  <c r="L2" i="31"/>
  <c r="E39" i="1" s="1"/>
  <c r="L2" i="20"/>
  <c r="E28" i="1" s="1"/>
  <c r="L2" i="10"/>
  <c r="E18" i="1" s="1"/>
  <c r="A22" i="1" l="1"/>
  <c r="A21" i="1"/>
  <c r="A24" i="1"/>
  <c r="A33" i="1"/>
  <c r="A13" i="1"/>
  <c r="A31" i="1"/>
  <c r="A29" i="1"/>
  <c r="A32" i="1"/>
  <c r="A27" i="1"/>
  <c r="A20" i="1"/>
  <c r="A15" i="1"/>
  <c r="A14" i="1"/>
  <c r="A38" i="1"/>
  <c r="A39" i="1"/>
  <c r="A26" i="1"/>
  <c r="A25" i="1"/>
  <c r="A12" i="1"/>
  <c r="A23" i="1"/>
  <c r="A16" i="1"/>
  <c r="A28" i="1"/>
  <c r="A35" i="1"/>
  <c r="B7" i="1"/>
  <c r="A34" i="1"/>
  <c r="B8" i="1"/>
  <c r="A18" i="1"/>
  <c r="A19" i="1"/>
  <c r="A37" i="1"/>
  <c r="A36" i="1"/>
  <c r="A40" i="1"/>
  <c r="A41" i="1"/>
  <c r="A17" i="1"/>
  <c r="A30" i="1"/>
  <c r="I5" i="1" l="1"/>
  <c r="L9" i="1"/>
  <c r="K8" i="1"/>
  <c r="L5" i="1"/>
  <c r="J8" i="1"/>
  <c r="K6" i="1"/>
  <c r="I9" i="1"/>
  <c r="H7" i="1"/>
  <c r="J6" i="1"/>
  <c r="K9" i="1"/>
  <c r="L8" i="1"/>
  <c r="H9" i="1"/>
  <c r="H6" i="1"/>
  <c r="L7" i="1"/>
  <c r="K5" i="1"/>
  <c r="H8" i="1"/>
  <c r="J5" i="1"/>
  <c r="J7" i="1"/>
  <c r="L6" i="1"/>
  <c r="I8" i="1"/>
  <c r="H5" i="1"/>
  <c r="J9" i="1"/>
  <c r="I6" i="1"/>
  <c r="K7" i="1"/>
  <c r="I7" i="1"/>
  <c r="L13" i="1"/>
  <c r="H13" i="1"/>
  <c r="K11" i="1"/>
  <c r="I14" i="1"/>
  <c r="H14" i="1"/>
  <c r="L12" i="1"/>
  <c r="H12" i="1"/>
  <c r="J10" i="1"/>
  <c r="K14" i="1"/>
  <c r="L14" i="1"/>
  <c r="L10" i="1"/>
  <c r="K12" i="1"/>
  <c r="I13" i="1"/>
  <c r="H10" i="1"/>
  <c r="I10" i="1"/>
  <c r="H11" i="1"/>
  <c r="I11" i="1"/>
  <c r="I12" i="1"/>
  <c r="J11" i="1"/>
  <c r="K10" i="1"/>
  <c r="L11" i="1"/>
  <c r="J14" i="1"/>
  <c r="J13" i="1"/>
  <c r="K13" i="1"/>
  <c r="J12" i="1"/>
</calcChain>
</file>

<file path=xl/sharedStrings.xml><?xml version="1.0" encoding="utf-8"?>
<sst xmlns="http://schemas.openxmlformats.org/spreadsheetml/2006/main" count="1470" uniqueCount="297">
  <si>
    <t>VM-tips 2026 – Topplista &amp; statistik</t>
  </si>
  <si>
    <t>Snabbstatus</t>
  </si>
  <si>
    <t>Topp 10</t>
  </si>
  <si>
    <t>Matcher totalt</t>
  </si>
  <si>
    <t>Placering</t>
  </si>
  <si>
    <t>Namn</t>
  </si>
  <si>
    <t>Poäng</t>
  </si>
  <si>
    <t>Exakta</t>
  </si>
  <si>
    <t>Rätt tecken</t>
  </si>
  <si>
    <t>Matcher med facit</t>
  </si>
  <si>
    <t>Antal spelare</t>
  </si>
  <si>
    <t>Genomsnittspoäng</t>
  </si>
  <si>
    <t>Högsta poäng</t>
  </si>
  <si>
    <t>Rank</t>
  </si>
  <si>
    <t>Flik</t>
  </si>
  <si>
    <t>Spelare 01</t>
  </si>
  <si>
    <t>Spelare 02</t>
  </si>
  <si>
    <t>Spelare 03</t>
  </si>
  <si>
    <t>Spelare 04</t>
  </si>
  <si>
    <t>Spelare 05</t>
  </si>
  <si>
    <t>Spelare 06</t>
  </si>
  <si>
    <t>Rolig statistik från tipsen</t>
  </si>
  <si>
    <t>Spelare 07</t>
  </si>
  <si>
    <t>Nyckeltal</t>
  </si>
  <si>
    <t>Värde</t>
  </si>
  <si>
    <t>Populäraste tecknet</t>
  </si>
  <si>
    <t>Antal</t>
  </si>
  <si>
    <t>Mest tippade mål totalt</t>
  </si>
  <si>
    <t>Spelare 08</t>
  </si>
  <si>
    <t>Antal inlämnade matchtips</t>
  </si>
  <si>
    <t>1</t>
  </si>
  <si>
    <t>0</t>
  </si>
  <si>
    <t>Spelare 09</t>
  </si>
  <si>
    <t>Snitt tippade mål/match</t>
  </si>
  <si>
    <t>X</t>
  </si>
  <si>
    <t>Spelare 10</t>
  </si>
  <si>
    <t>Hemmatecken tippade</t>
  </si>
  <si>
    <t>2</t>
  </si>
  <si>
    <t>Spelare 11</t>
  </si>
  <si>
    <t>Kryss tippade</t>
  </si>
  <si>
    <t>3</t>
  </si>
  <si>
    <t>Spelare 12</t>
  </si>
  <si>
    <t>Bortatecken tippade</t>
  </si>
  <si>
    <t>4+</t>
  </si>
  <si>
    <t>Spelare 13</t>
  </si>
  <si>
    <t>Spelare 14</t>
  </si>
  <si>
    <t>Spelare 15</t>
  </si>
  <si>
    <t>Spelare 16</t>
  </si>
  <si>
    <t>Spelare 17</t>
  </si>
  <si>
    <t>Spelare 18</t>
  </si>
  <si>
    <t>Spelare 19</t>
  </si>
  <si>
    <t>Spelare 20</t>
  </si>
  <si>
    <t>Spelare 21</t>
  </si>
  <si>
    <t>Spelare 22</t>
  </si>
  <si>
    <t>Spelare 23</t>
  </si>
  <si>
    <t>Spelare 24</t>
  </si>
  <si>
    <t>Spelare 25</t>
  </si>
  <si>
    <t>Spelare 26</t>
  </si>
  <si>
    <t>Spelare 27</t>
  </si>
  <si>
    <t>Spelare 28</t>
  </si>
  <si>
    <t>Spelare 29</t>
  </si>
  <si>
    <t>Spelare 30</t>
  </si>
  <si>
    <t>Nr</t>
  </si>
  <si>
    <t>Fas</t>
  </si>
  <si>
    <t>Grupp</t>
  </si>
  <si>
    <t>Datum Sverige</t>
  </si>
  <si>
    <t>Tid Sverige</t>
  </si>
  <si>
    <t>Datum ET</t>
  </si>
  <si>
    <t>Tid ET</t>
  </si>
  <si>
    <t>Hemmalag</t>
  </si>
  <si>
    <t>Bortalag</t>
  </si>
  <si>
    <t>Arena</t>
  </si>
  <si>
    <t>Facit H</t>
  </si>
  <si>
    <t>Facit B</t>
  </si>
  <si>
    <t>Facit tecken</t>
  </si>
  <si>
    <t>Källa</t>
  </si>
  <si>
    <t>Gruppspel</t>
  </si>
  <si>
    <t>A</t>
  </si>
  <si>
    <t>21:00</t>
  </si>
  <si>
    <t>15:00</t>
  </si>
  <si>
    <t>Mexico</t>
  </si>
  <si>
    <t>South Africa</t>
  </si>
  <si>
    <t>Estadio Azteca, Mexico City</t>
  </si>
  <si>
    <t>https://www.fifa.com/en/tournaments/mens/worldcup/canadamexicousa2026/articles/match-schedule-fixtures-results-teams-stadiums</t>
  </si>
  <si>
    <t>04:00</t>
  </si>
  <si>
    <t>22:00</t>
  </si>
  <si>
    <t>South Korea</t>
  </si>
  <si>
    <t>Czechia</t>
  </si>
  <si>
    <t>Estadio Akron, Zapopan</t>
  </si>
  <si>
    <t>B</t>
  </si>
  <si>
    <t>Canada</t>
  </si>
  <si>
    <t>Bosnia &amp; Herzegovina</t>
  </si>
  <si>
    <t>BMO Field, Toronto</t>
  </si>
  <si>
    <t>D</t>
  </si>
  <si>
    <t>03:00</t>
  </si>
  <si>
    <t>USA</t>
  </si>
  <si>
    <t>Paraguay</t>
  </si>
  <si>
    <t>SoFi Stadium, Inglewood</t>
  </si>
  <si>
    <t>Qatar</t>
  </si>
  <si>
    <t>Switzerland</t>
  </si>
  <si>
    <t>Levi’s Stadium, Santa Clara</t>
  </si>
  <si>
    <t>C</t>
  </si>
  <si>
    <t>00:00</t>
  </si>
  <si>
    <t>18:00</t>
  </si>
  <si>
    <t>Brazil</t>
  </si>
  <si>
    <t>Morocco</t>
  </si>
  <si>
    <t>MetLife Stadium, East Rutherford</t>
  </si>
  <si>
    <t>Haiti</t>
  </si>
  <si>
    <t>Scotland</t>
  </si>
  <si>
    <t>Gillette Stadium, Foxborough</t>
  </si>
  <si>
    <t>06:00</t>
  </si>
  <si>
    <t>Australia</t>
  </si>
  <si>
    <t>Türkiye</t>
  </si>
  <si>
    <t>BC Place, Vancouver</t>
  </si>
  <si>
    <t>E</t>
  </si>
  <si>
    <t>19:00</t>
  </si>
  <si>
    <t>13:00</t>
  </si>
  <si>
    <t>Germany</t>
  </si>
  <si>
    <t>Curaçao</t>
  </si>
  <si>
    <t>NRG Stadium, Houston</t>
  </si>
  <si>
    <t>F</t>
  </si>
  <si>
    <t>16:00</t>
  </si>
  <si>
    <t>Netherlands</t>
  </si>
  <si>
    <t>Japan</t>
  </si>
  <si>
    <t>AT&amp;T Stadium, Arlington</t>
  </si>
  <si>
    <t>01:00</t>
  </si>
  <si>
    <t>Ivory Coast</t>
  </si>
  <si>
    <t>Ecuador</t>
  </si>
  <si>
    <t>Lincoln Financial Field, Philadelphia</t>
  </si>
  <si>
    <t>Sweden</t>
  </si>
  <si>
    <t>Tunisia</t>
  </si>
  <si>
    <t>Estadio BBVA, Monterrey</t>
  </si>
  <si>
    <t>H</t>
  </si>
  <si>
    <t>12:00</t>
  </si>
  <si>
    <t>Spain</t>
  </si>
  <si>
    <t>Cape Verde</t>
  </si>
  <si>
    <t>Mercedes-Benz Stadium, Atlanta</t>
  </si>
  <si>
    <t>G</t>
  </si>
  <si>
    <t>Belgium</t>
  </si>
  <si>
    <t>Egypt</t>
  </si>
  <si>
    <t>Lumen Field, Seattle</t>
  </si>
  <si>
    <t>Saudi Arabia</t>
  </si>
  <si>
    <t>Uruguay</t>
  </si>
  <si>
    <t>Hard Rock Stadium, Miami Gardens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</si>
  <si>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</si>
  <si>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</si>
  <si>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</si>
  <si>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</si>
  <si>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</si>
  <si>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</si>
  <si>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</si>
  <si>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</si>
  <si>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</si>
  <si>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</si>
  <si>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Arrowhead Stadium, Kansas City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</si>
  <si>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</si>
  <si>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</si>
  <si>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</si>
  <si>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</si>
  <si>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</si>
  <si>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</si>
  <si>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</si>
  <si>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</si>
  <si>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</si>
  <si>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</si>
  <si>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</si>
  <si>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</si>
  <si>
    <t>02:30</t>
  </si>
  <si>
    <t>20:30</t>
  </si>
  <si>
    <t>05:00</t>
  </si>
  <si>
    <t>23:00</t>
  </si>
  <si>
    <t>02:00</t>
  </si>
  <si>
    <t>20:00</t>
  </si>
  <si>
    <t>17:00</t>
  </si>
  <si>
    <t>01:30</t>
  </si>
  <si>
    <t>19:30</t>
  </si>
  <si>
    <t>32-delsfinal</t>
  </si>
  <si>
    <t>Runner-up A</t>
  </si>
  <si>
    <t>Runner-up B</t>
  </si>
  <si>
    <t>Winner C</t>
  </si>
  <si>
    <t>Runner-up F</t>
  </si>
  <si>
    <t>22:30</t>
  </si>
  <si>
    <t>16:30</t>
  </si>
  <si>
    <t>Winner E</t>
  </si>
  <si>
    <t>Best 3rd (A/B/C/D/F)</t>
  </si>
  <si>
    <t>Winner F</t>
  </si>
  <si>
    <t>Runner-up C</t>
  </si>
  <si>
    <t>Runner-up E</t>
  </si>
  <si>
    <t>Runner-up I</t>
  </si>
  <si>
    <t>Winner I</t>
  </si>
  <si>
    <t>Best 3rd (C/D/F/G/H)</t>
  </si>
  <si>
    <t>Winner A</t>
  </si>
  <si>
    <t>Best 3rd (C/E/F/H/I)</t>
  </si>
  <si>
    <t>Winner L</t>
  </si>
  <si>
    <t>Best 3rd (E/H/I/J/K)</t>
  </si>
  <si>
    <t>Winner G</t>
  </si>
  <si>
    <t>Best 3rd (A/E/H/I/J)</t>
  </si>
  <si>
    <t>Winner D</t>
  </si>
  <si>
    <t>Best 3rd (B/E/F/I/J)</t>
  </si>
  <si>
    <t>Winner H</t>
  </si>
  <si>
    <t>Runner-up J</t>
  </si>
  <si>
    <t>Runner-up K</t>
  </si>
  <si>
    <t>Runner-up L</t>
  </si>
  <si>
    <t>Winner B</t>
  </si>
  <si>
    <t>Best 3rd (E/F/G/I/J)</t>
  </si>
  <si>
    <t>14:00</t>
  </si>
  <si>
    <t>Runner-up D</t>
  </si>
  <si>
    <t>Runner-up G</t>
  </si>
  <si>
    <t>Winner J</t>
  </si>
  <si>
    <t>Runner-up H</t>
  </si>
  <si>
    <t>03:30</t>
  </si>
  <si>
    <t>21:30</t>
  </si>
  <si>
    <t>Winner K</t>
  </si>
  <si>
    <t>Best 3rd (D/E/I/J/L)</t>
  </si>
  <si>
    <t>Åttondelsfinal</t>
  </si>
  <si>
    <t>Winner Match 73</t>
  </si>
  <si>
    <t>Winner Match 75</t>
  </si>
  <si>
    <t>Winner Match 74</t>
  </si>
  <si>
    <t>Winner Match 77</t>
  </si>
  <si>
    <t>Winner Match 76</t>
  </si>
  <si>
    <t>Winner Match 78</t>
  </si>
  <si>
    <t>Winner Match 79</t>
  </si>
  <si>
    <t>Winner Match 80</t>
  </si>
  <si>
    <t>Winner Match 83</t>
  </si>
  <si>
    <t>Winner Match 84</t>
  </si>
  <si>
    <t>Winner Match 81</t>
  </si>
  <si>
    <t>Winner Match 82</t>
  </si>
  <si>
    <t>Winner Match 86</t>
  </si>
  <si>
    <t>Winner Match 88</t>
  </si>
  <si>
    <t>Winner Match 85</t>
  </si>
  <si>
    <t>Winner Match 87</t>
  </si>
  <si>
    <t>Kvartsfinal</t>
  </si>
  <si>
    <t>Winner Match 89</t>
  </si>
  <si>
    <t>Winner Match 90</t>
  </si>
  <si>
    <t>Winner Match 93</t>
  </si>
  <si>
    <t>Winner Match 94</t>
  </si>
  <si>
    <t>Winner Match 91</t>
  </si>
  <si>
    <t>Winner Match 92</t>
  </si>
  <si>
    <t>Winner Match 95</t>
  </si>
  <si>
    <t>Winner Match 96</t>
  </si>
  <si>
    <t>Semifinal</t>
  </si>
  <si>
    <t>Winner Match 97</t>
  </si>
  <si>
    <t>Winner Match 98</t>
  </si>
  <si>
    <t>AT&amp;T Stadium, Arlington (Dallas)</t>
  </si>
  <si>
    <t>Winner Match 99</t>
  </si>
  <si>
    <t>Winner Match 100</t>
  </si>
  <si>
    <t>Bronsmatch</t>
  </si>
  <si>
    <t>Loser Match 101</t>
  </si>
  <si>
    <t>Loser Match 102</t>
  </si>
  <si>
    <t>Final</t>
  </si>
  <si>
    <t>Winner Match 101</t>
  </si>
  <si>
    <t>Winner Match 102</t>
  </si>
  <si>
    <t>MetLife Stadium, East Rutherford, NJ</t>
  </si>
  <si>
    <t>VM-tips 2026 – regler och källor</t>
  </si>
  <si>
    <t>Inställning</t>
  </si>
  <si>
    <t>Poäng för exakt resultat</t>
  </si>
  <si>
    <t>Poäng för rätt tecken (1/X/2)</t>
  </si>
  <si>
    <t>Antal deltagare</t>
  </si>
  <si>
    <t>Antal matcher</t>
  </si>
  <si>
    <t>Så används filen</t>
  </si>
  <si>
    <t>1. Gå till varje flik Spelare 01–30 och skriv deltagarens namn i cell B2.</t>
  </si>
  <si>
    <t>2. Deltagaren fyller i tippade mål för hemmalag och bortalag. Tipptecken räknas automatiskt.</t>
  </si>
  <si>
    <t>3. När matcherna spelats fyller admin facit i Matchschema, kolumn K–L.</t>
  </si>
  <si>
    <t>4. Poängen uppdateras automatiskt på spelarnas flikar och i Startsida.</t>
  </si>
  <si>
    <t>5. Ändra poängmodellen i cell B4–B5 här om ni vill ha andra regler.</t>
  </si>
  <si>
    <t>Tips: Skydda gärna Matchschema och Startsida om ni delar filen, så att endast personflikarna fylls i.</t>
  </si>
  <si>
    <t>Källor</t>
  </si>
  <si>
    <t>https://worldcupwiki.com/schedule/</t>
  </si>
  <si>
    <t>VM-tips 2026 – personlig tippflik</t>
  </si>
  <si>
    <t>Namn:</t>
  </si>
  <si>
    <t>Ricardo</t>
  </si>
  <si>
    <t>Totalpoäng</t>
  </si>
  <si>
    <t>Datum SE</t>
  </si>
  <si>
    <t>Tid SE</t>
  </si>
  <si>
    <t>Tip H</t>
  </si>
  <si>
    <t>Tip B</t>
  </si>
  <si>
    <t>Tipp</t>
  </si>
  <si>
    <t>Kommentar</t>
  </si>
  <si>
    <t>Janne</t>
  </si>
  <si>
    <t>Bosse</t>
  </si>
  <si>
    <t>Stina</t>
  </si>
  <si>
    <t>Robban</t>
  </si>
  <si>
    <t>Chrille</t>
  </si>
  <si>
    <t>John T.</t>
  </si>
  <si>
    <t>Clabbe</t>
  </si>
  <si>
    <t>Dennis</t>
  </si>
  <si>
    <t>A. Monfors</t>
  </si>
  <si>
    <t>Anders D.</t>
  </si>
  <si>
    <t>Eve</t>
  </si>
  <si>
    <t>Nizze</t>
  </si>
  <si>
    <t>Sorken</t>
  </si>
  <si>
    <t>Peter</t>
  </si>
  <si>
    <t>Antonia</t>
  </si>
  <si>
    <t>Niklas A.</t>
  </si>
  <si>
    <t>Thomas B.</t>
  </si>
  <si>
    <t>Micke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</si>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</sst>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1"/>
      <color rgb="FF831843"/>
      <name val="Carlito"/>
    </font>
    <font>
      <b/>
      <sz val="15"/>
      <color rgb="FFFFFFFF"/>
      <name val="Carlito"/>
    </font>
    <font>
      <b/>
      <sz val="18"/>
      <color rgb="FFFFFFFF"/>
      <name val="Carlito"/>
    </font>
    <font>
      <sz val="11"/>
      <name val="Carlito"/>
    </font>
    <font>
      <b/>
      <sz val="11"/>
      <color rgb="FF831843"/>
      <name val="Calibri"/>
      <family val="2"/>
      <scheme val="minor"/>
    </font>
    <font>
      <sz val="11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1D4ED8"/>
      </patternFill>
    </fill>
    <fill>
      <patternFill patternType="solid">
        <fgColor rgb="FFFDF2F8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DF2F8"/>
        <bgColor rgb="FF000000"/>
      </patternFill>
    </fill>
    <fill>
      <patternFill patternType="solid">
        <fgColor rgb="FFDCFCE7"/>
        <bgColor rgb="FF00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0" fontId="8" fillId="0" borderId="1"/>
    <xf numFmtId="0" fontId="10" fillId="0" borderId="1"/>
  </cellStyleXfs>
  <cellXfs count="3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5" fillId="6" borderId="0" xfId="0" applyFont="1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6" borderId="1" xfId="1" applyFont="1" applyFill="1" applyAlignment="1">
      <alignment horizontal="center" vertical="center" wrapText="1"/>
    </xf>
    <xf numFmtId="1" fontId="5" fillId="6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9" fillId="9" borderId="0" xfId="0" applyFont="1" applyFill="1" applyAlignment="1">
      <alignment horizontal="center" vertical="center" wrapText="1"/>
    </xf>
    <xf numFmtId="1" fontId="5" fillId="6" borderId="1" xfId="1" applyNumberFormat="1" applyFont="1" applyFill="1" applyAlignment="1">
      <alignment horizontal="center" vertical="center" wrapText="1"/>
    </xf>
    <xf numFmtId="0" fontId="8" fillId="0" borderId="1" xfId="1" applyAlignment="1">
      <alignment vertical="center" wrapText="1"/>
    </xf>
    <xf numFmtId="0" fontId="5" fillId="6" borderId="1" xfId="2" applyFont="1" applyFill="1" applyAlignment="1">
      <alignment horizontal="center" vertical="center" wrapText="1"/>
    </xf>
    <xf numFmtId="0" fontId="5" fillId="10" borderId="2" xfId="0" applyFont="1" applyFill="1" applyBorder="1" applyAlignment="1">
      <alignment wrapText="1"/>
    </xf>
    <xf numFmtId="0" fontId="5" fillId="9" borderId="3" xfId="0" applyFont="1" applyFill="1" applyBorder="1" applyAlignment="1">
      <alignment wrapText="1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0" fillId="0" borderId="0" xfId="0" applyAlignment="1"/>
  </cellXfs>
  <cellStyles count="3">
    <cellStyle name="Normal" xfId="0" builtinId="0"/>
    <cellStyle name="Normal 2" xfId="1" xr:uid="{38C6AA94-D01D-479B-A0F8-F3454996EA2F}"/>
    <cellStyle name="Normal 3" xfId="2" xr:uid="{1B0AB145-45C1-4D96-8734-205533FFC382}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numFmt numFmtId="1" formatCode="0"/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libri"/>
        <family val="2"/>
        <scheme val="minor"/>
      </font>
      <fill>
        <patternFill patternType="solid">
          <fgColor rgb="FF000000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libri"/>
        <family val="2"/>
        <scheme val="minor"/>
      </font>
      <fill>
        <patternFill patternType="solid">
          <fgColor rgb="FF000000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numFmt numFmtId="1" formatCode="0"/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numFmt numFmtId="1" formatCode="0"/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numFmt numFmtId="1" formatCode="0"/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numFmt numFmtId="1" formatCode="0"/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1843"/>
        <name val="Carlito"/>
        <scheme val="none"/>
      </font>
      <fill>
        <patternFill patternType="solid">
          <fgColor indexed="64"/>
          <bgColor rgb="FFFDF2F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Poäng</c:v>
          </c:tx>
          <c:invertIfNegative val="1"/>
          <c:cat>
            <c:strRef>
              <c:f>Startsida!$I$5:$I$14</c:f>
              <c:strCache>
                <c:ptCount val="10"/>
                <c:pt idx="0">
                  <c:v>Ricardo</c:v>
                </c:pt>
                <c:pt idx="1">
                  <c:v>Stina</c:v>
                </c:pt>
                <c:pt idx="2">
                  <c:v>Robban</c:v>
                </c:pt>
                <c:pt idx="3">
                  <c:v>Clabbe</c:v>
                </c:pt>
                <c:pt idx="4">
                  <c:v>Dennis</c:v>
                </c:pt>
                <c:pt idx="5">
                  <c:v>Nizze</c:v>
                </c:pt>
                <c:pt idx="6">
                  <c:v>Janne</c:v>
                </c:pt>
                <c:pt idx="7">
                  <c:v>Bosse</c:v>
                </c:pt>
                <c:pt idx="8">
                  <c:v>Chrille</c:v>
                </c:pt>
                <c:pt idx="9">
                  <c:v>John T.</c:v>
                </c:pt>
              </c:strCache>
            </c:strRef>
          </c:cat>
          <c:val>
            <c:numRef>
              <c:f>Startsida!$J$5:$J$14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3-44A9-BF51-A5FFD77A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chschemaTable" displayName="MatchschemaTable" ref="A1:N105">
  <tableColumns count="14">
    <tableColumn id="1" xr3:uid="{00000000-0010-0000-0000-000001000000}" name="Nr"/>
    <tableColumn id="2" xr3:uid="{00000000-0010-0000-0000-000002000000}" name="Fas"/>
    <tableColumn id="3" xr3:uid="{00000000-0010-0000-0000-000003000000}" name="Grupp"/>
    <tableColumn id="4" xr3:uid="{00000000-0010-0000-0000-000004000000}" name="Datum Sverige"/>
    <tableColumn id="5" xr3:uid="{00000000-0010-0000-0000-000005000000}" name="Tid Sverige"/>
    <tableColumn id="6" xr3:uid="{00000000-0010-0000-0000-000006000000}" name="Datum ET"/>
    <tableColumn id="7" xr3:uid="{00000000-0010-0000-0000-000007000000}" name="Tid ET"/>
    <tableColumn id="8" xr3:uid="{00000000-0010-0000-0000-000008000000}" name="Hemmalag"/>
    <tableColumn id="9" xr3:uid="{00000000-0010-0000-0000-000009000000}" name="Bortalag"/>
    <tableColumn id="10" xr3:uid="{00000000-0010-0000-0000-00000A000000}" name="Arena"/>
    <tableColumn id="11" xr3:uid="{00000000-0010-0000-0000-00000B000000}" name="Facit H"/>
    <tableColumn id="12" xr3:uid="{00000000-0010-0000-0000-00000C000000}" name="Facit B"/>
    <tableColumn id="13" xr3:uid="{00000000-0010-0000-0000-00000D000000}" name="Facit tecken"/>
    <tableColumn id="14" xr3:uid="{00000000-0010-0000-0000-00000E000000}" name="Käl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psTable01" displayName="TipsTable01" ref="A6:M110">
  <tableColumns count="13">
    <tableColumn id="1" xr3:uid="{00000000-0010-0000-0100-000001000000}" name="Nr"/>
    <tableColumn id="2" xr3:uid="{00000000-0010-0000-0100-000002000000}" name="Fas"/>
    <tableColumn id="3" xr3:uid="{00000000-0010-0000-0100-000003000000}" name="Grupp"/>
    <tableColumn id="4" xr3:uid="{00000000-0010-0000-0100-000004000000}" name="Datum SE"/>
    <tableColumn id="5" xr3:uid="{00000000-0010-0000-0100-000005000000}" name="Tid SE"/>
    <tableColumn id="6" xr3:uid="{00000000-0010-0000-0100-000006000000}" name="Hemmalag"/>
    <tableColumn id="7" xr3:uid="{00000000-0010-0000-0100-000007000000}" name="Bortalag"/>
    <tableColumn id="8" xr3:uid="{00000000-0010-0000-0100-000008000000}" name="Arena"/>
    <tableColumn id="9" xr3:uid="{00000000-0010-0000-0100-000009000000}" name="Tip H"/>
    <tableColumn id="10" xr3:uid="{00000000-0010-0000-0100-00000A000000}" name="Tip B"/>
    <tableColumn id="11" xr3:uid="{00000000-0010-0000-0100-00000B000000}" name="Tipp"/>
    <tableColumn id="12" xr3:uid="{00000000-0010-0000-0100-00000C000000}" name="Poäng"/>
    <tableColumn id="13" xr3:uid="{00000000-0010-0000-0100-00000D000000}" name="Kommen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psTable02" displayName="TipsTable02" ref="A6:M110">
  <tableColumns count="13">
    <tableColumn id="1" xr3:uid="{00000000-0010-0000-0200-000001000000}" name="Nr"/>
    <tableColumn id="2" xr3:uid="{00000000-0010-0000-0200-000002000000}" name="Fas"/>
    <tableColumn id="3" xr3:uid="{00000000-0010-0000-0200-000003000000}" name="Grupp"/>
    <tableColumn id="4" xr3:uid="{00000000-0010-0000-0200-000004000000}" name="Datum SE"/>
    <tableColumn id="5" xr3:uid="{00000000-0010-0000-0200-000005000000}" name="Tid SE"/>
    <tableColumn id="6" xr3:uid="{00000000-0010-0000-0200-000006000000}" name="Hemmalag"/>
    <tableColumn id="7" xr3:uid="{00000000-0010-0000-0200-000007000000}" name="Bortalag"/>
    <tableColumn id="8" xr3:uid="{00000000-0010-0000-0200-000008000000}" name="Arena"/>
    <tableColumn id="9" xr3:uid="{00000000-0010-0000-0200-000009000000}" name="Tip H" dataDxfId="61" dataCellStyle="Normal 2"/>
    <tableColumn id="10" xr3:uid="{00000000-0010-0000-0200-00000A000000}" name="Tip B" dataDxfId="60" dataCellStyle="Normal 2"/>
    <tableColumn id="11" xr3:uid="{00000000-0010-0000-0200-00000B000000}" name="Tipp"/>
    <tableColumn id="12" xr3:uid="{00000000-0010-0000-0200-00000C000000}" name="Poäng"/>
    <tableColumn id="13" xr3:uid="{00000000-0010-0000-0200-00000D000000}" name="Komment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psTable03" displayName="TipsTable03" ref="A6:M110">
  <tableColumns count="13">
    <tableColumn id="1" xr3:uid="{00000000-0010-0000-0300-000001000000}" name="Nr"/>
    <tableColumn id="2" xr3:uid="{00000000-0010-0000-0300-000002000000}" name="Fas"/>
    <tableColumn id="3" xr3:uid="{00000000-0010-0000-0300-000003000000}" name="Grupp"/>
    <tableColumn id="4" xr3:uid="{00000000-0010-0000-0300-000004000000}" name="Datum SE"/>
    <tableColumn id="5" xr3:uid="{00000000-0010-0000-0300-000005000000}" name="Tid SE"/>
    <tableColumn id="6" xr3:uid="{00000000-0010-0000-0300-000006000000}" name="Hemmalag"/>
    <tableColumn id="7" xr3:uid="{00000000-0010-0000-0300-000007000000}" name="Bortalag"/>
    <tableColumn id="8" xr3:uid="{00000000-0010-0000-0300-000008000000}" name="Arena"/>
    <tableColumn id="9" xr3:uid="{00000000-0010-0000-0300-000009000000}" name="Tip H" dataDxfId="57"/>
    <tableColumn id="10" xr3:uid="{00000000-0010-0000-0300-00000A000000}" name="Tip B" dataDxfId="56"/>
    <tableColumn id="11" xr3:uid="{00000000-0010-0000-0300-00000B000000}" name="Tipp"/>
    <tableColumn id="12" xr3:uid="{00000000-0010-0000-0300-00000C000000}" name="Poäng"/>
    <tableColumn id="13" xr3:uid="{00000000-0010-0000-0300-00000D000000}" name="Kommen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psTable04" displayName="TipsTable04" ref="A6:M110">
  <tableColumns count="13">
    <tableColumn id="1" xr3:uid="{00000000-0010-0000-0400-000001000000}" name="Nr"/>
    <tableColumn id="2" xr3:uid="{00000000-0010-0000-0400-000002000000}" name="Fas"/>
    <tableColumn id="3" xr3:uid="{00000000-0010-0000-0400-000003000000}" name="Grupp"/>
    <tableColumn id="4" xr3:uid="{00000000-0010-0000-0400-000004000000}" name="Datum SE"/>
    <tableColumn id="5" xr3:uid="{00000000-0010-0000-0400-000005000000}" name="Tid SE"/>
    <tableColumn id="6" xr3:uid="{00000000-0010-0000-0400-000006000000}" name="Hemmalag"/>
    <tableColumn id="7" xr3:uid="{00000000-0010-0000-0400-000007000000}" name="Bortalag"/>
    <tableColumn id="8" xr3:uid="{00000000-0010-0000-0400-000008000000}" name="Arena"/>
    <tableColumn id="9" xr3:uid="{00000000-0010-0000-0400-000009000000}" name="Tip H" dataDxfId="53" dataCellStyle="Normal 2"/>
    <tableColumn id="10" xr3:uid="{00000000-0010-0000-0400-00000A000000}" name="Tip B" dataDxfId="52" dataCellStyle="Normal 2"/>
    <tableColumn id="11" xr3:uid="{00000000-0010-0000-0400-00000B000000}" name="Tipp"/>
    <tableColumn id="12" xr3:uid="{00000000-0010-0000-0400-00000C000000}" name="Poäng"/>
    <tableColumn id="13" xr3:uid="{00000000-0010-0000-0400-00000D000000}" name="Komment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ipsTable05" displayName="TipsTable05" ref="A6:M110">
  <tableColumns count="13">
    <tableColumn id="1" xr3:uid="{00000000-0010-0000-0500-000001000000}" name="Nr"/>
    <tableColumn id="2" xr3:uid="{00000000-0010-0000-0500-000002000000}" name="Fas"/>
    <tableColumn id="3" xr3:uid="{00000000-0010-0000-0500-000003000000}" name="Grupp"/>
    <tableColumn id="4" xr3:uid="{00000000-0010-0000-0500-000004000000}" name="Datum SE"/>
    <tableColumn id="5" xr3:uid="{00000000-0010-0000-0500-000005000000}" name="Tid SE"/>
    <tableColumn id="6" xr3:uid="{00000000-0010-0000-0500-000006000000}" name="Hemmalag"/>
    <tableColumn id="7" xr3:uid="{00000000-0010-0000-0500-000007000000}" name="Bortalag"/>
    <tableColumn id="8" xr3:uid="{00000000-0010-0000-0500-000008000000}" name="Arena"/>
    <tableColumn id="9" xr3:uid="{00000000-0010-0000-0500-000009000000}" name="Tip H" dataDxfId="49"/>
    <tableColumn id="10" xr3:uid="{00000000-0010-0000-0500-00000A000000}" name="Tip B" dataDxfId="48"/>
    <tableColumn id="11" xr3:uid="{00000000-0010-0000-0500-00000B000000}" name="Tipp"/>
    <tableColumn id="12" xr3:uid="{00000000-0010-0000-0500-00000C000000}" name="Poäng"/>
    <tableColumn id="13" xr3:uid="{00000000-0010-0000-0500-00000D000000}" name="Komment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ipsTable06" displayName="TipsTable06" ref="A6:M110">
  <tableColumns count="13">
    <tableColumn id="1" xr3:uid="{00000000-0010-0000-0600-000001000000}" name="Nr"/>
    <tableColumn id="2" xr3:uid="{00000000-0010-0000-0600-000002000000}" name="Fas"/>
    <tableColumn id="3" xr3:uid="{00000000-0010-0000-0600-000003000000}" name="Grupp"/>
    <tableColumn id="4" xr3:uid="{00000000-0010-0000-0600-000004000000}" name="Datum SE"/>
    <tableColumn id="5" xr3:uid="{00000000-0010-0000-0600-000005000000}" name="Tid SE"/>
    <tableColumn id="6" xr3:uid="{00000000-0010-0000-0600-000006000000}" name="Hemmalag"/>
    <tableColumn id="7" xr3:uid="{00000000-0010-0000-0600-000007000000}" name="Bortalag"/>
    <tableColumn id="8" xr3:uid="{00000000-0010-0000-0600-000008000000}" name="Arena"/>
    <tableColumn id="9" xr3:uid="{00000000-0010-0000-0600-000009000000}" name="Tip H" dataDxfId="45" dataCellStyle="Normal 2"/>
    <tableColumn id="10" xr3:uid="{00000000-0010-0000-0600-00000A000000}" name="Tip B" dataDxfId="44" dataCellStyle="Normal 2"/>
    <tableColumn id="11" xr3:uid="{00000000-0010-0000-0600-00000B000000}" name="Tipp"/>
    <tableColumn id="12" xr3:uid="{00000000-0010-0000-0600-00000C000000}" name="Poäng"/>
    <tableColumn id="13" xr3:uid="{00000000-0010-0000-0600-00000D000000}" name="Komment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ipsTable07" displayName="TipsTable07" ref="A6:M110">
  <tableColumns count="13">
    <tableColumn id="1" xr3:uid="{00000000-0010-0000-0700-000001000000}" name="Nr"/>
    <tableColumn id="2" xr3:uid="{00000000-0010-0000-0700-000002000000}" name="Fas"/>
    <tableColumn id="3" xr3:uid="{00000000-0010-0000-0700-000003000000}" name="Grupp"/>
    <tableColumn id="4" xr3:uid="{00000000-0010-0000-0700-000004000000}" name="Datum SE"/>
    <tableColumn id="5" xr3:uid="{00000000-0010-0000-0700-000005000000}" name="Tid SE"/>
    <tableColumn id="6" xr3:uid="{00000000-0010-0000-0700-000006000000}" name="Hemmalag"/>
    <tableColumn id="7" xr3:uid="{00000000-0010-0000-0700-000007000000}" name="Bortalag"/>
    <tableColumn id="8" xr3:uid="{00000000-0010-0000-0700-000008000000}" name="Arena"/>
    <tableColumn id="9" xr3:uid="{00000000-0010-0000-0700-000009000000}" name="Tip H" dataDxfId="41" dataCellStyle="Normal 2"/>
    <tableColumn id="10" xr3:uid="{00000000-0010-0000-0700-00000A000000}" name="Tip B" dataDxfId="40" dataCellStyle="Normal 2"/>
    <tableColumn id="11" xr3:uid="{00000000-0010-0000-0700-00000B000000}" name="Tipp"/>
    <tableColumn id="12" xr3:uid="{00000000-0010-0000-0700-00000C000000}" name="Poäng"/>
    <tableColumn id="13" xr3:uid="{00000000-0010-0000-0700-00000D000000}" name="Komment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ipsTable08" displayName="TipsTable08" ref="A6:M110">
  <tableColumns count="13">
    <tableColumn id="1" xr3:uid="{00000000-0010-0000-0800-000001000000}" name="Nr"/>
    <tableColumn id="2" xr3:uid="{00000000-0010-0000-0800-000002000000}" name="Fas"/>
    <tableColumn id="3" xr3:uid="{00000000-0010-0000-0800-000003000000}" name="Grupp"/>
    <tableColumn id="4" xr3:uid="{00000000-0010-0000-0800-000004000000}" name="Datum SE"/>
    <tableColumn id="5" xr3:uid="{00000000-0010-0000-0800-000005000000}" name="Tid SE"/>
    <tableColumn id="6" xr3:uid="{00000000-0010-0000-0800-000006000000}" name="Hemmalag"/>
    <tableColumn id="7" xr3:uid="{00000000-0010-0000-0800-000007000000}" name="Bortalag"/>
    <tableColumn id="8" xr3:uid="{00000000-0010-0000-0800-000008000000}" name="Arena"/>
    <tableColumn id="9" xr3:uid="{00000000-0010-0000-0800-000009000000}" name="Tip H" dataDxfId="37" dataCellStyle="Normal 2"/>
    <tableColumn id="10" xr3:uid="{00000000-0010-0000-0800-00000A000000}" name="Tip B" dataDxfId="36" dataCellStyle="Normal 2"/>
    <tableColumn id="11" xr3:uid="{00000000-0010-0000-0800-00000B000000}" name="Tipp"/>
    <tableColumn id="12" xr3:uid="{00000000-0010-0000-0800-00000C000000}" name="Poäng"/>
    <tableColumn id="13" xr3:uid="{00000000-0010-0000-0800-00000D000000}" name="Komment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ipsTable09" displayName="TipsTable09" ref="A6:M110">
  <tableColumns count="13">
    <tableColumn id="1" xr3:uid="{00000000-0010-0000-0900-000001000000}" name="Nr"/>
    <tableColumn id="2" xr3:uid="{00000000-0010-0000-0900-000002000000}" name="Fas"/>
    <tableColumn id="3" xr3:uid="{00000000-0010-0000-0900-000003000000}" name="Grupp"/>
    <tableColumn id="4" xr3:uid="{00000000-0010-0000-0900-000004000000}" name="Datum SE"/>
    <tableColumn id="5" xr3:uid="{00000000-0010-0000-0900-000005000000}" name="Tid SE"/>
    <tableColumn id="6" xr3:uid="{00000000-0010-0000-0900-000006000000}" name="Hemmalag"/>
    <tableColumn id="7" xr3:uid="{00000000-0010-0000-0900-000007000000}" name="Bortalag"/>
    <tableColumn id="8" xr3:uid="{00000000-0010-0000-0900-000008000000}" name="Arena"/>
    <tableColumn id="9" xr3:uid="{00000000-0010-0000-0900-000009000000}" name="Tip H" dataDxfId="35"/>
    <tableColumn id="10" xr3:uid="{00000000-0010-0000-0900-00000A000000}" name="Tip B" dataDxfId="34"/>
    <tableColumn id="11" xr3:uid="{00000000-0010-0000-0900-00000B000000}" name="Tipp"/>
    <tableColumn id="12" xr3:uid="{00000000-0010-0000-0900-00000C000000}" name="Poäng"/>
    <tableColumn id="13" xr3:uid="{00000000-0010-0000-0900-00000D000000}" name="Komment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ipsTable10" displayName="TipsTable10" ref="A6:M110">
  <tableColumns count="13">
    <tableColumn id="1" xr3:uid="{00000000-0010-0000-0A00-000001000000}" name="Nr"/>
    <tableColumn id="2" xr3:uid="{00000000-0010-0000-0A00-000002000000}" name="Fas"/>
    <tableColumn id="3" xr3:uid="{00000000-0010-0000-0A00-000003000000}" name="Grupp"/>
    <tableColumn id="4" xr3:uid="{00000000-0010-0000-0A00-000004000000}" name="Datum SE"/>
    <tableColumn id="5" xr3:uid="{00000000-0010-0000-0A00-000005000000}" name="Tid SE"/>
    <tableColumn id="6" xr3:uid="{00000000-0010-0000-0A00-000006000000}" name="Hemmalag"/>
    <tableColumn id="7" xr3:uid="{00000000-0010-0000-0A00-000007000000}" name="Bortalag"/>
    <tableColumn id="8" xr3:uid="{00000000-0010-0000-0A00-000008000000}" name="Arena"/>
    <tableColumn id="9" xr3:uid="{00000000-0010-0000-0A00-000009000000}" name="Tip H"/>
    <tableColumn id="10" xr3:uid="{00000000-0010-0000-0A00-00000A000000}" name="Tip B"/>
    <tableColumn id="11" xr3:uid="{00000000-0010-0000-0A00-00000B000000}" name="Tipp"/>
    <tableColumn id="12" xr3:uid="{00000000-0010-0000-0A00-00000C000000}" name="Poäng"/>
    <tableColumn id="13" xr3:uid="{00000000-0010-0000-0A00-00000D000000}" name="Komment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ipsTable11" displayName="TipsTable11" ref="A6:M110">
  <tableColumns count="13">
    <tableColumn id="1" xr3:uid="{00000000-0010-0000-0B00-000001000000}" name="Nr"/>
    <tableColumn id="2" xr3:uid="{00000000-0010-0000-0B00-000002000000}" name="Fas"/>
    <tableColumn id="3" xr3:uid="{00000000-0010-0000-0B00-000003000000}" name="Grupp"/>
    <tableColumn id="4" xr3:uid="{00000000-0010-0000-0B00-000004000000}" name="Datum SE"/>
    <tableColumn id="5" xr3:uid="{00000000-0010-0000-0B00-000005000000}" name="Tid SE"/>
    <tableColumn id="6" xr3:uid="{00000000-0010-0000-0B00-000006000000}" name="Hemmalag"/>
    <tableColumn id="7" xr3:uid="{00000000-0010-0000-0B00-000007000000}" name="Bortalag"/>
    <tableColumn id="8" xr3:uid="{00000000-0010-0000-0B00-000008000000}" name="Arena"/>
    <tableColumn id="9" xr3:uid="{00000000-0010-0000-0B00-000009000000}" name="Tip H" dataDxfId="33" dataCellStyle="Normal 2"/>
    <tableColumn id="10" xr3:uid="{00000000-0010-0000-0B00-00000A000000}" name="Tip B" dataDxfId="32" dataCellStyle="Normal 2"/>
    <tableColumn id="11" xr3:uid="{00000000-0010-0000-0B00-00000B000000}" name="Tipp"/>
    <tableColumn id="12" xr3:uid="{00000000-0010-0000-0B00-00000C000000}" name="Poäng"/>
    <tableColumn id="13" xr3:uid="{00000000-0010-0000-0B00-00000D000000}" name="Komment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ipsTable12" displayName="TipsTable12" ref="A6:M110">
  <tableColumns count="13">
    <tableColumn id="1" xr3:uid="{00000000-0010-0000-0C00-000001000000}" name="Nr"/>
    <tableColumn id="2" xr3:uid="{00000000-0010-0000-0C00-000002000000}" name="Fas"/>
    <tableColumn id="3" xr3:uid="{00000000-0010-0000-0C00-000003000000}" name="Grupp"/>
    <tableColumn id="4" xr3:uid="{00000000-0010-0000-0C00-000004000000}" name="Datum SE"/>
    <tableColumn id="5" xr3:uid="{00000000-0010-0000-0C00-000005000000}" name="Tid SE"/>
    <tableColumn id="6" xr3:uid="{00000000-0010-0000-0C00-000006000000}" name="Hemmalag"/>
    <tableColumn id="7" xr3:uid="{00000000-0010-0000-0C00-000007000000}" name="Bortalag"/>
    <tableColumn id="8" xr3:uid="{00000000-0010-0000-0C00-000008000000}" name="Arena"/>
    <tableColumn id="9" xr3:uid="{00000000-0010-0000-0C00-000009000000}" name="Tip H" dataDxfId="29" dataCellStyle="Normal 2"/>
    <tableColumn id="10" xr3:uid="{00000000-0010-0000-0C00-00000A000000}" name="Tip B" dataDxfId="28" dataCellStyle="Normal 2"/>
    <tableColumn id="11" xr3:uid="{00000000-0010-0000-0C00-00000B000000}" name="Tipp"/>
    <tableColumn id="12" xr3:uid="{00000000-0010-0000-0C00-00000C000000}" name="Poäng"/>
    <tableColumn id="13" xr3:uid="{00000000-0010-0000-0C00-00000D000000}" name="Kommenta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ipsTable13" displayName="TipsTable13" ref="A6:M110">
  <tableColumns count="13">
    <tableColumn id="1" xr3:uid="{00000000-0010-0000-0D00-000001000000}" name="Nr"/>
    <tableColumn id="2" xr3:uid="{00000000-0010-0000-0D00-000002000000}" name="Fas"/>
    <tableColumn id="3" xr3:uid="{00000000-0010-0000-0D00-000003000000}" name="Grupp"/>
    <tableColumn id="4" xr3:uid="{00000000-0010-0000-0D00-000004000000}" name="Datum SE"/>
    <tableColumn id="5" xr3:uid="{00000000-0010-0000-0D00-000005000000}" name="Tid SE"/>
    <tableColumn id="6" xr3:uid="{00000000-0010-0000-0D00-000006000000}" name="Hemmalag"/>
    <tableColumn id="7" xr3:uid="{00000000-0010-0000-0D00-000007000000}" name="Bortalag"/>
    <tableColumn id="8" xr3:uid="{00000000-0010-0000-0D00-000008000000}" name="Arena"/>
    <tableColumn id="9" xr3:uid="{00000000-0010-0000-0D00-000009000000}" name="Tip H" dataDxfId="25" dataCellStyle="Normal 2"/>
    <tableColumn id="10" xr3:uid="{00000000-0010-0000-0D00-00000A000000}" name="Tip B" dataDxfId="24" dataCellStyle="Normal 2"/>
    <tableColumn id="11" xr3:uid="{00000000-0010-0000-0D00-00000B000000}" name="Tipp"/>
    <tableColumn id="12" xr3:uid="{00000000-0010-0000-0D00-00000C000000}" name="Poäng"/>
    <tableColumn id="13" xr3:uid="{00000000-0010-0000-0D00-00000D000000}" name="Kommenta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ipsTable14" displayName="TipsTable14" ref="A6:M110">
  <tableColumns count="13">
    <tableColumn id="1" xr3:uid="{00000000-0010-0000-0E00-000001000000}" name="Nr"/>
    <tableColumn id="2" xr3:uid="{00000000-0010-0000-0E00-000002000000}" name="Fas"/>
    <tableColumn id="3" xr3:uid="{00000000-0010-0000-0E00-000003000000}" name="Grupp"/>
    <tableColumn id="4" xr3:uid="{00000000-0010-0000-0E00-000004000000}" name="Datum SE"/>
    <tableColumn id="5" xr3:uid="{00000000-0010-0000-0E00-000005000000}" name="Tid SE"/>
    <tableColumn id="6" xr3:uid="{00000000-0010-0000-0E00-000006000000}" name="Hemmalag"/>
    <tableColumn id="7" xr3:uid="{00000000-0010-0000-0E00-000007000000}" name="Bortalag"/>
    <tableColumn id="8" xr3:uid="{00000000-0010-0000-0E00-000008000000}" name="Arena"/>
    <tableColumn id="9" xr3:uid="{00000000-0010-0000-0E00-000009000000}" name="Tip H" dataDxfId="21" dataCellStyle="Normal 2"/>
    <tableColumn id="10" xr3:uid="{00000000-0010-0000-0E00-00000A000000}" name="Tip B" dataDxfId="20" dataCellStyle="Normal 2"/>
    <tableColumn id="11" xr3:uid="{00000000-0010-0000-0E00-00000B000000}" name="Tipp"/>
    <tableColumn id="12" xr3:uid="{00000000-0010-0000-0E00-00000C000000}" name="Poäng"/>
    <tableColumn id="13" xr3:uid="{00000000-0010-0000-0E00-00000D000000}" name="Kommenta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ipsTable15" displayName="TipsTable15" ref="A6:M110">
  <tableColumns count="13">
    <tableColumn id="1" xr3:uid="{00000000-0010-0000-0F00-000001000000}" name="Nr"/>
    <tableColumn id="2" xr3:uid="{00000000-0010-0000-0F00-000002000000}" name="Fas"/>
    <tableColumn id="3" xr3:uid="{00000000-0010-0000-0F00-000003000000}" name="Grupp"/>
    <tableColumn id="4" xr3:uid="{00000000-0010-0000-0F00-000004000000}" name="Datum SE"/>
    <tableColumn id="5" xr3:uid="{00000000-0010-0000-0F00-000005000000}" name="Tid SE"/>
    <tableColumn id="6" xr3:uid="{00000000-0010-0000-0F00-000006000000}" name="Hemmalag"/>
    <tableColumn id="7" xr3:uid="{00000000-0010-0000-0F00-000007000000}" name="Bortalag"/>
    <tableColumn id="8" xr3:uid="{00000000-0010-0000-0F00-000008000000}" name="Arena"/>
    <tableColumn id="9" xr3:uid="{00000000-0010-0000-0F00-000009000000}" name="Tip H" dataDxfId="17" dataCellStyle="Normal 2"/>
    <tableColumn id="10" xr3:uid="{00000000-0010-0000-0F00-00000A000000}" name="Tip B" dataDxfId="16" dataCellStyle="Normal 2"/>
    <tableColumn id="11" xr3:uid="{00000000-0010-0000-0F00-00000B000000}" name="Tipp"/>
    <tableColumn id="12" xr3:uid="{00000000-0010-0000-0F00-00000C000000}" name="Poäng"/>
    <tableColumn id="13" xr3:uid="{00000000-0010-0000-0F00-00000D000000}" name="Kommenta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ipsTable16" displayName="TipsTable16" ref="A6:M110">
  <tableColumns count="13">
    <tableColumn id="1" xr3:uid="{00000000-0010-0000-1000-000001000000}" name="Nr"/>
    <tableColumn id="2" xr3:uid="{00000000-0010-0000-1000-000002000000}" name="Fas"/>
    <tableColumn id="3" xr3:uid="{00000000-0010-0000-1000-000003000000}" name="Grupp"/>
    <tableColumn id="4" xr3:uid="{00000000-0010-0000-1000-000004000000}" name="Datum SE"/>
    <tableColumn id="5" xr3:uid="{00000000-0010-0000-1000-000005000000}" name="Tid SE"/>
    <tableColumn id="6" xr3:uid="{00000000-0010-0000-1000-000006000000}" name="Hemmalag"/>
    <tableColumn id="7" xr3:uid="{00000000-0010-0000-1000-000007000000}" name="Bortalag"/>
    <tableColumn id="8" xr3:uid="{00000000-0010-0000-1000-000008000000}" name="Arena"/>
    <tableColumn id="9" xr3:uid="{00000000-0010-0000-1000-000009000000}" name="Tip H" dataDxfId="13" dataCellStyle="Normal 2"/>
    <tableColumn id="10" xr3:uid="{00000000-0010-0000-1000-00000A000000}" name="Tip B" dataDxfId="12" dataCellStyle="Normal 2"/>
    <tableColumn id="11" xr3:uid="{00000000-0010-0000-1000-00000B000000}" name="Tipp"/>
    <tableColumn id="12" xr3:uid="{00000000-0010-0000-1000-00000C000000}" name="Poäng"/>
    <tableColumn id="13" xr3:uid="{00000000-0010-0000-1000-00000D000000}" name="Kommenta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ipsTable17" displayName="TipsTable17" ref="A6:M110">
  <tableColumns count="13">
    <tableColumn id="1" xr3:uid="{00000000-0010-0000-1100-000001000000}" name="Nr"/>
    <tableColumn id="2" xr3:uid="{00000000-0010-0000-1100-000002000000}" name="Fas"/>
    <tableColumn id="3" xr3:uid="{00000000-0010-0000-1100-000003000000}" name="Grupp"/>
    <tableColumn id="4" xr3:uid="{00000000-0010-0000-1100-000004000000}" name="Datum SE"/>
    <tableColumn id="5" xr3:uid="{00000000-0010-0000-1100-000005000000}" name="Tid SE"/>
    <tableColumn id="6" xr3:uid="{00000000-0010-0000-1100-000006000000}" name="Hemmalag"/>
    <tableColumn id="7" xr3:uid="{00000000-0010-0000-1100-000007000000}" name="Bortalag"/>
    <tableColumn id="8" xr3:uid="{00000000-0010-0000-1100-000008000000}" name="Arena"/>
    <tableColumn id="9" xr3:uid="{00000000-0010-0000-1100-000009000000}" name="Tip H" dataDxfId="9" dataCellStyle="Normal 2"/>
    <tableColumn id="10" xr3:uid="{00000000-0010-0000-1100-00000A000000}" name="Tip B" dataDxfId="8" dataCellStyle="Normal 2"/>
    <tableColumn id="11" xr3:uid="{00000000-0010-0000-1100-00000B000000}" name="Tipp"/>
    <tableColumn id="12" xr3:uid="{00000000-0010-0000-1100-00000C000000}" name="Poäng"/>
    <tableColumn id="13" xr3:uid="{00000000-0010-0000-1100-00000D000000}" name="Kommenta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ipsTable18" displayName="TipsTable18" ref="A6:M110">
  <tableColumns count="13">
    <tableColumn id="1" xr3:uid="{00000000-0010-0000-1200-000001000000}" name="Nr"/>
    <tableColumn id="2" xr3:uid="{00000000-0010-0000-1200-000002000000}" name="Fas"/>
    <tableColumn id="3" xr3:uid="{00000000-0010-0000-1200-000003000000}" name="Grupp"/>
    <tableColumn id="4" xr3:uid="{00000000-0010-0000-1200-000004000000}" name="Datum SE"/>
    <tableColumn id="5" xr3:uid="{00000000-0010-0000-1200-000005000000}" name="Tid SE"/>
    <tableColumn id="6" xr3:uid="{00000000-0010-0000-1200-000006000000}" name="Hemmalag"/>
    <tableColumn id="7" xr3:uid="{00000000-0010-0000-1200-000007000000}" name="Bortalag"/>
    <tableColumn id="8" xr3:uid="{00000000-0010-0000-1200-000008000000}" name="Arena"/>
    <tableColumn id="9" xr3:uid="{00000000-0010-0000-1200-000009000000}" name="Tip H" dataDxfId="5" dataCellStyle="Normal 2"/>
    <tableColumn id="10" xr3:uid="{00000000-0010-0000-1200-00000A000000}" name="Tip B" dataDxfId="4" dataCellStyle="Normal 2"/>
    <tableColumn id="11" xr3:uid="{00000000-0010-0000-1200-00000B000000}" name="Tipp"/>
    <tableColumn id="12" xr3:uid="{00000000-0010-0000-1200-00000C000000}" name="Poäng"/>
    <tableColumn id="13" xr3:uid="{00000000-0010-0000-1200-00000D000000}" name="Kommenta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ipsTable19" displayName="TipsTable19" ref="A6:M110">
  <tableColumns count="13">
    <tableColumn id="1" xr3:uid="{00000000-0010-0000-1300-000001000000}" name="Nr"/>
    <tableColumn id="2" xr3:uid="{00000000-0010-0000-1300-000002000000}" name="Fas"/>
    <tableColumn id="3" xr3:uid="{00000000-0010-0000-1300-000003000000}" name="Grupp"/>
    <tableColumn id="4" xr3:uid="{00000000-0010-0000-1300-000004000000}" name="Datum SE"/>
    <tableColumn id="5" xr3:uid="{00000000-0010-0000-1300-000005000000}" name="Tid SE"/>
    <tableColumn id="6" xr3:uid="{00000000-0010-0000-1300-000006000000}" name="Hemmalag"/>
    <tableColumn id="7" xr3:uid="{00000000-0010-0000-1300-000007000000}" name="Bortalag"/>
    <tableColumn id="8" xr3:uid="{00000000-0010-0000-1300-000008000000}" name="Arena"/>
    <tableColumn id="9" xr3:uid="{00000000-0010-0000-1300-000009000000}" name="Tip H" dataDxfId="1" dataCellStyle="Normal 2"/>
    <tableColumn id="10" xr3:uid="{00000000-0010-0000-1300-00000A000000}" name="Tip B" dataDxfId="0" dataCellStyle="Normal 2"/>
    <tableColumn id="11" xr3:uid="{00000000-0010-0000-1300-00000B000000}" name="Tipp"/>
    <tableColumn id="12" xr3:uid="{00000000-0010-0000-1300-00000C000000}" name="Poäng"/>
    <tableColumn id="13" xr3:uid="{00000000-0010-0000-1300-00000D000000}" name="Kommenta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ipsTable20" displayName="TipsTable20" ref="A6:M110">
  <tableColumns count="13">
    <tableColumn id="1" xr3:uid="{00000000-0010-0000-1400-000001000000}" name="Nr"/>
    <tableColumn id="2" xr3:uid="{00000000-0010-0000-1400-000002000000}" name="Fas"/>
    <tableColumn id="3" xr3:uid="{00000000-0010-0000-1400-000003000000}" name="Grupp"/>
    <tableColumn id="4" xr3:uid="{00000000-0010-0000-1400-000004000000}" name="Datum SE"/>
    <tableColumn id="5" xr3:uid="{00000000-0010-0000-1400-000005000000}" name="Tid SE"/>
    <tableColumn id="6" xr3:uid="{00000000-0010-0000-1400-000006000000}" name="Hemmalag"/>
    <tableColumn id="7" xr3:uid="{00000000-0010-0000-1400-000007000000}" name="Bortalag"/>
    <tableColumn id="8" xr3:uid="{00000000-0010-0000-1400-000008000000}" name="Arena"/>
    <tableColumn id="9" xr3:uid="{00000000-0010-0000-1400-000009000000}" name="Tip H"/>
    <tableColumn id="10" xr3:uid="{00000000-0010-0000-1400-00000A000000}" name="Tip B"/>
    <tableColumn id="11" xr3:uid="{00000000-0010-0000-1400-00000B000000}" name="Tipp"/>
    <tableColumn id="12" xr3:uid="{00000000-0010-0000-1400-00000C000000}" name="Poäng"/>
    <tableColumn id="13" xr3:uid="{00000000-0010-0000-1400-00000D000000}" name="Kommenta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ipsTable21" displayName="TipsTable21" ref="A6:M110">
  <tableColumns count="13">
    <tableColumn id="1" xr3:uid="{00000000-0010-0000-1500-000001000000}" name="Nr"/>
    <tableColumn id="2" xr3:uid="{00000000-0010-0000-1500-000002000000}" name="Fas"/>
    <tableColumn id="3" xr3:uid="{00000000-0010-0000-1500-000003000000}" name="Grupp"/>
    <tableColumn id="4" xr3:uid="{00000000-0010-0000-1500-000004000000}" name="Datum SE"/>
    <tableColumn id="5" xr3:uid="{00000000-0010-0000-1500-000005000000}" name="Tid SE"/>
    <tableColumn id="6" xr3:uid="{00000000-0010-0000-1500-000006000000}" name="Hemmalag"/>
    <tableColumn id="7" xr3:uid="{00000000-0010-0000-1500-000007000000}" name="Bortalag"/>
    <tableColumn id="8" xr3:uid="{00000000-0010-0000-1500-000008000000}" name="Arena"/>
    <tableColumn id="9" xr3:uid="{00000000-0010-0000-1500-000009000000}" name="Tip H"/>
    <tableColumn id="10" xr3:uid="{00000000-0010-0000-1500-00000A000000}" name="Tip B"/>
    <tableColumn id="11" xr3:uid="{00000000-0010-0000-1500-00000B000000}" name="Tipp"/>
    <tableColumn id="12" xr3:uid="{00000000-0010-0000-1500-00000C000000}" name="Poäng"/>
    <tableColumn id="13" xr3:uid="{00000000-0010-0000-1500-00000D000000}" name="Kommenta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ipsTable22" displayName="TipsTable22" ref="A6:M110">
  <tableColumns count="13">
    <tableColumn id="1" xr3:uid="{00000000-0010-0000-1600-000001000000}" name="Nr"/>
    <tableColumn id="2" xr3:uid="{00000000-0010-0000-1600-000002000000}" name="Fas"/>
    <tableColumn id="3" xr3:uid="{00000000-0010-0000-1600-000003000000}" name="Grupp"/>
    <tableColumn id="4" xr3:uid="{00000000-0010-0000-1600-000004000000}" name="Datum SE"/>
    <tableColumn id="5" xr3:uid="{00000000-0010-0000-1600-000005000000}" name="Tid SE"/>
    <tableColumn id="6" xr3:uid="{00000000-0010-0000-1600-000006000000}" name="Hemmalag"/>
    <tableColumn id="7" xr3:uid="{00000000-0010-0000-1600-000007000000}" name="Bortalag"/>
    <tableColumn id="8" xr3:uid="{00000000-0010-0000-1600-000008000000}" name="Arena"/>
    <tableColumn id="9" xr3:uid="{00000000-0010-0000-1600-000009000000}" name="Tip H"/>
    <tableColumn id="10" xr3:uid="{00000000-0010-0000-1600-00000A000000}" name="Tip B"/>
    <tableColumn id="11" xr3:uid="{00000000-0010-0000-1600-00000B000000}" name="Tipp"/>
    <tableColumn id="12" xr3:uid="{00000000-0010-0000-1600-00000C000000}" name="Poäng"/>
    <tableColumn id="13" xr3:uid="{00000000-0010-0000-1600-00000D000000}" name="Kommentar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ipsTable23" displayName="TipsTable23" ref="A6:M110">
  <tableColumns count="13">
    <tableColumn id="1" xr3:uid="{00000000-0010-0000-1700-000001000000}" name="Nr"/>
    <tableColumn id="2" xr3:uid="{00000000-0010-0000-1700-000002000000}" name="Fas"/>
    <tableColumn id="3" xr3:uid="{00000000-0010-0000-1700-000003000000}" name="Grupp"/>
    <tableColumn id="4" xr3:uid="{00000000-0010-0000-1700-000004000000}" name="Datum SE"/>
    <tableColumn id="5" xr3:uid="{00000000-0010-0000-1700-000005000000}" name="Tid SE"/>
    <tableColumn id="6" xr3:uid="{00000000-0010-0000-1700-000006000000}" name="Hemmalag"/>
    <tableColumn id="7" xr3:uid="{00000000-0010-0000-1700-000007000000}" name="Bortalag"/>
    <tableColumn id="8" xr3:uid="{00000000-0010-0000-1700-000008000000}" name="Arena"/>
    <tableColumn id="9" xr3:uid="{00000000-0010-0000-1700-000009000000}" name="Tip H"/>
    <tableColumn id="10" xr3:uid="{00000000-0010-0000-1700-00000A000000}" name="Tip B"/>
    <tableColumn id="11" xr3:uid="{00000000-0010-0000-1700-00000B000000}" name="Tipp"/>
    <tableColumn id="12" xr3:uid="{00000000-0010-0000-1700-00000C000000}" name="Poäng"/>
    <tableColumn id="13" xr3:uid="{00000000-0010-0000-1700-00000D000000}" name="Kommenta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ipsTable24" displayName="TipsTable24" ref="A6:M110">
  <tableColumns count="13">
    <tableColumn id="1" xr3:uid="{00000000-0010-0000-1800-000001000000}" name="Nr"/>
    <tableColumn id="2" xr3:uid="{00000000-0010-0000-1800-000002000000}" name="Fas"/>
    <tableColumn id="3" xr3:uid="{00000000-0010-0000-1800-000003000000}" name="Grupp"/>
    <tableColumn id="4" xr3:uid="{00000000-0010-0000-1800-000004000000}" name="Datum SE"/>
    <tableColumn id="5" xr3:uid="{00000000-0010-0000-1800-000005000000}" name="Tid SE"/>
    <tableColumn id="6" xr3:uid="{00000000-0010-0000-1800-000006000000}" name="Hemmalag"/>
    <tableColumn id="7" xr3:uid="{00000000-0010-0000-1800-000007000000}" name="Bortalag"/>
    <tableColumn id="8" xr3:uid="{00000000-0010-0000-1800-000008000000}" name="Arena"/>
    <tableColumn id="9" xr3:uid="{00000000-0010-0000-1800-000009000000}" name="Tip H"/>
    <tableColumn id="10" xr3:uid="{00000000-0010-0000-1800-00000A000000}" name="Tip B"/>
    <tableColumn id="11" xr3:uid="{00000000-0010-0000-1800-00000B000000}" name="Tipp"/>
    <tableColumn id="12" xr3:uid="{00000000-0010-0000-1800-00000C000000}" name="Poäng"/>
    <tableColumn id="13" xr3:uid="{00000000-0010-0000-1800-00000D000000}" name="Kommenta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ipsTable25" displayName="TipsTable25" ref="A6:M110">
  <tableColumns count="13">
    <tableColumn id="1" xr3:uid="{00000000-0010-0000-1900-000001000000}" name="Nr"/>
    <tableColumn id="2" xr3:uid="{00000000-0010-0000-1900-000002000000}" name="Fas"/>
    <tableColumn id="3" xr3:uid="{00000000-0010-0000-1900-000003000000}" name="Grupp"/>
    <tableColumn id="4" xr3:uid="{00000000-0010-0000-1900-000004000000}" name="Datum SE"/>
    <tableColumn id="5" xr3:uid="{00000000-0010-0000-1900-000005000000}" name="Tid SE"/>
    <tableColumn id="6" xr3:uid="{00000000-0010-0000-1900-000006000000}" name="Hemmalag"/>
    <tableColumn id="7" xr3:uid="{00000000-0010-0000-1900-000007000000}" name="Bortalag"/>
    <tableColumn id="8" xr3:uid="{00000000-0010-0000-1900-000008000000}" name="Arena"/>
    <tableColumn id="9" xr3:uid="{00000000-0010-0000-1900-000009000000}" name="Tip H"/>
    <tableColumn id="10" xr3:uid="{00000000-0010-0000-1900-00000A000000}" name="Tip B"/>
    <tableColumn id="11" xr3:uid="{00000000-0010-0000-1900-00000B000000}" name="Tipp"/>
    <tableColumn id="12" xr3:uid="{00000000-0010-0000-1900-00000C000000}" name="Poäng"/>
    <tableColumn id="13" xr3:uid="{00000000-0010-0000-1900-00000D000000}" name="Kommentar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ipsTable26" displayName="TipsTable26" ref="A6:M110">
  <tableColumns count="13">
    <tableColumn id="1" xr3:uid="{00000000-0010-0000-1A00-000001000000}" name="Nr"/>
    <tableColumn id="2" xr3:uid="{00000000-0010-0000-1A00-000002000000}" name="Fas"/>
    <tableColumn id="3" xr3:uid="{00000000-0010-0000-1A00-000003000000}" name="Grupp"/>
    <tableColumn id="4" xr3:uid="{00000000-0010-0000-1A00-000004000000}" name="Datum SE"/>
    <tableColumn id="5" xr3:uid="{00000000-0010-0000-1A00-000005000000}" name="Tid SE"/>
    <tableColumn id="6" xr3:uid="{00000000-0010-0000-1A00-000006000000}" name="Hemmalag"/>
    <tableColumn id="7" xr3:uid="{00000000-0010-0000-1A00-000007000000}" name="Bortalag"/>
    <tableColumn id="8" xr3:uid="{00000000-0010-0000-1A00-000008000000}" name="Arena"/>
    <tableColumn id="9" xr3:uid="{00000000-0010-0000-1A00-000009000000}" name="Tip H"/>
    <tableColumn id="10" xr3:uid="{00000000-0010-0000-1A00-00000A000000}" name="Tip B"/>
    <tableColumn id="11" xr3:uid="{00000000-0010-0000-1A00-00000B000000}" name="Tipp"/>
    <tableColumn id="12" xr3:uid="{00000000-0010-0000-1A00-00000C000000}" name="Poäng"/>
    <tableColumn id="13" xr3:uid="{00000000-0010-0000-1A00-00000D000000}" name="Komment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ipsTable27" displayName="TipsTable27" ref="A6:M110">
  <tableColumns count="13">
    <tableColumn id="1" xr3:uid="{00000000-0010-0000-1B00-000001000000}" name="Nr"/>
    <tableColumn id="2" xr3:uid="{00000000-0010-0000-1B00-000002000000}" name="Fas"/>
    <tableColumn id="3" xr3:uid="{00000000-0010-0000-1B00-000003000000}" name="Grupp"/>
    <tableColumn id="4" xr3:uid="{00000000-0010-0000-1B00-000004000000}" name="Datum SE"/>
    <tableColumn id="5" xr3:uid="{00000000-0010-0000-1B00-000005000000}" name="Tid SE"/>
    <tableColumn id="6" xr3:uid="{00000000-0010-0000-1B00-000006000000}" name="Hemmalag"/>
    <tableColumn id="7" xr3:uid="{00000000-0010-0000-1B00-000007000000}" name="Bortalag"/>
    <tableColumn id="8" xr3:uid="{00000000-0010-0000-1B00-000008000000}" name="Arena"/>
    <tableColumn id="9" xr3:uid="{00000000-0010-0000-1B00-000009000000}" name="Tip H"/>
    <tableColumn id="10" xr3:uid="{00000000-0010-0000-1B00-00000A000000}" name="Tip B"/>
    <tableColumn id="11" xr3:uid="{00000000-0010-0000-1B00-00000B000000}" name="Tipp"/>
    <tableColumn id="12" xr3:uid="{00000000-0010-0000-1B00-00000C000000}" name="Poäng"/>
    <tableColumn id="13" xr3:uid="{00000000-0010-0000-1B00-00000D000000}" name="Kommenta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ipsTable28" displayName="TipsTable28" ref="A6:M110">
  <tableColumns count="13">
    <tableColumn id="1" xr3:uid="{00000000-0010-0000-1C00-000001000000}" name="Nr"/>
    <tableColumn id="2" xr3:uid="{00000000-0010-0000-1C00-000002000000}" name="Fas"/>
    <tableColumn id="3" xr3:uid="{00000000-0010-0000-1C00-000003000000}" name="Grupp"/>
    <tableColumn id="4" xr3:uid="{00000000-0010-0000-1C00-000004000000}" name="Datum SE"/>
    <tableColumn id="5" xr3:uid="{00000000-0010-0000-1C00-000005000000}" name="Tid SE"/>
    <tableColumn id="6" xr3:uid="{00000000-0010-0000-1C00-000006000000}" name="Hemmalag"/>
    <tableColumn id="7" xr3:uid="{00000000-0010-0000-1C00-000007000000}" name="Bortalag"/>
    <tableColumn id="8" xr3:uid="{00000000-0010-0000-1C00-000008000000}" name="Arena"/>
    <tableColumn id="9" xr3:uid="{00000000-0010-0000-1C00-000009000000}" name="Tip H"/>
    <tableColumn id="10" xr3:uid="{00000000-0010-0000-1C00-00000A000000}" name="Tip B"/>
    <tableColumn id="11" xr3:uid="{00000000-0010-0000-1C00-00000B000000}" name="Tipp"/>
    <tableColumn id="12" xr3:uid="{00000000-0010-0000-1C00-00000C000000}" name="Poäng"/>
    <tableColumn id="13" xr3:uid="{00000000-0010-0000-1C00-00000D000000}" name="Kommentar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ipsTable29" displayName="TipsTable29" ref="A6:M110">
  <tableColumns count="13">
    <tableColumn id="1" xr3:uid="{00000000-0010-0000-1D00-000001000000}" name="Nr"/>
    <tableColumn id="2" xr3:uid="{00000000-0010-0000-1D00-000002000000}" name="Fas"/>
    <tableColumn id="3" xr3:uid="{00000000-0010-0000-1D00-000003000000}" name="Grupp"/>
    <tableColumn id="4" xr3:uid="{00000000-0010-0000-1D00-000004000000}" name="Datum SE"/>
    <tableColumn id="5" xr3:uid="{00000000-0010-0000-1D00-000005000000}" name="Tid SE"/>
    <tableColumn id="6" xr3:uid="{00000000-0010-0000-1D00-000006000000}" name="Hemmalag"/>
    <tableColumn id="7" xr3:uid="{00000000-0010-0000-1D00-000007000000}" name="Bortalag"/>
    <tableColumn id="8" xr3:uid="{00000000-0010-0000-1D00-000008000000}" name="Arena"/>
    <tableColumn id="9" xr3:uid="{00000000-0010-0000-1D00-000009000000}" name="Tip H"/>
    <tableColumn id="10" xr3:uid="{00000000-0010-0000-1D00-00000A000000}" name="Tip B"/>
    <tableColumn id="11" xr3:uid="{00000000-0010-0000-1D00-00000B000000}" name="Tipp"/>
    <tableColumn id="12" xr3:uid="{00000000-0010-0000-1D00-00000C000000}" name="Poäng"/>
    <tableColumn id="13" xr3:uid="{00000000-0010-0000-1D00-00000D000000}" name="Kommenta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ipsTable30" displayName="TipsTable30" ref="A6:M110">
  <tableColumns count="13">
    <tableColumn id="1" xr3:uid="{00000000-0010-0000-1E00-000001000000}" name="Nr"/>
    <tableColumn id="2" xr3:uid="{00000000-0010-0000-1E00-000002000000}" name="Fas"/>
    <tableColumn id="3" xr3:uid="{00000000-0010-0000-1E00-000003000000}" name="Grupp"/>
    <tableColumn id="4" xr3:uid="{00000000-0010-0000-1E00-000004000000}" name="Datum SE"/>
    <tableColumn id="5" xr3:uid="{00000000-0010-0000-1E00-000005000000}" name="Tid SE"/>
    <tableColumn id="6" xr3:uid="{00000000-0010-0000-1E00-000006000000}" name="Hemmalag"/>
    <tableColumn id="7" xr3:uid="{00000000-0010-0000-1E00-000007000000}" name="Bortalag"/>
    <tableColumn id="8" xr3:uid="{00000000-0010-0000-1E00-000008000000}" name="Arena"/>
    <tableColumn id="9" xr3:uid="{00000000-0010-0000-1E00-000009000000}" name="Tip H"/>
    <tableColumn id="10" xr3:uid="{00000000-0010-0000-1E00-00000A000000}" name="Tip B"/>
    <tableColumn id="11" xr3:uid="{00000000-0010-0000-1E00-00000B000000}" name="Tipp"/>
    <tableColumn id="12" xr3:uid="{00000000-0010-0000-1E00-00000C000000}" name="Poäng"/>
    <tableColumn id="13" xr3:uid="{00000000-0010-0000-1E00-00000D00000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workbookViewId="0">
      <selection activeCell="F5" sqref="F5"/>
    </sheetView>
  </sheetViews>
  <sheetFormatPr defaultRowHeight="14.25"/>
  <cols>
    <col min="1" max="1" width="8" customWidth="1"/>
    <col min="2" max="2" width="20" customWidth="1"/>
    <col min="3" max="5" width="12" customWidth="1"/>
    <col min="6" max="6" width="14" customWidth="1"/>
    <col min="7" max="7" width="5.125" customWidth="1"/>
    <col min="8" max="8" width="22.625" bestFit="1" customWidth="1"/>
    <col min="9" max="9" width="20" customWidth="1"/>
    <col min="10" max="12" width="12" customWidth="1"/>
    <col min="13" max="13" width="22" customWidth="1"/>
    <col min="14" max="14" width="12" customWidth="1"/>
  </cols>
  <sheetData>
    <row r="1" spans="1:14" ht="23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30">
      <c r="A3" s="1" t="s">
        <v>1</v>
      </c>
      <c r="B3" s="1"/>
      <c r="C3" s="9"/>
      <c r="D3" s="9"/>
      <c r="E3" s="9"/>
      <c r="F3" s="9"/>
      <c r="G3" s="9"/>
      <c r="H3" s="27" t="s">
        <v>2</v>
      </c>
      <c r="I3" s="26"/>
      <c r="J3" s="26"/>
      <c r="K3" s="26"/>
      <c r="L3" s="26"/>
      <c r="M3" s="9"/>
      <c r="N3" s="9"/>
    </row>
    <row r="4" spans="1:14" ht="30">
      <c r="A4" s="2" t="s">
        <v>3</v>
      </c>
      <c r="B4" s="10">
        <v>104</v>
      </c>
      <c r="C4" s="9"/>
      <c r="D4" s="9"/>
      <c r="E4" s="9"/>
      <c r="F4" s="9"/>
      <c r="G4" s="9"/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9"/>
      <c r="N4" s="9"/>
    </row>
    <row r="5" spans="1:14" ht="45">
      <c r="A5" s="2" t="s">
        <v>9</v>
      </c>
      <c r="B5" s="10">
        <f>COUNT(Matchschema!K2:K105)</f>
        <v>1</v>
      </c>
      <c r="C5" s="9"/>
      <c r="D5" s="9"/>
      <c r="E5" s="9"/>
      <c r="F5" s="9"/>
      <c r="G5" s="9"/>
      <c r="H5" s="9">
        <f>IFERROR(INDEX($A$12:$A$41,MATCH(1,$A$12:$A$41,0)),"")</f>
        <v>1</v>
      </c>
      <c r="I5" s="9" t="str">
        <f>IFERROR(INDEX($B$12:$B$41,MATCH(1,$A$12:$A$41,0)),"")</f>
        <v>Ricardo</v>
      </c>
      <c r="J5" s="9">
        <f>IFERROR(INDEX($C$12:$C$41,MATCH(1,$A$12:$A$41,0)),"")</f>
        <v>3</v>
      </c>
      <c r="K5" s="9">
        <f>IFERROR(INDEX($D$12:$D$41,MATCH(1,$A$12:$A$41,0)),"")</f>
        <v>1</v>
      </c>
      <c r="L5" s="9">
        <f>IFERROR(INDEX($E$12:$E$41,MATCH(1,$A$12:$A$41,0)),"")</f>
        <v>1</v>
      </c>
      <c r="M5" s="9"/>
      <c r="N5" s="9"/>
    </row>
    <row r="6" spans="1:14" ht="30">
      <c r="A6" s="2" t="s">
        <v>10</v>
      </c>
      <c r="B6" s="10">
        <v>30</v>
      </c>
      <c r="C6" s="9"/>
      <c r="D6" s="9"/>
      <c r="E6" s="9"/>
      <c r="F6" s="9"/>
      <c r="G6" s="9"/>
      <c r="H6" s="9">
        <f>IFERROR(INDEX($A$12:$A$41,MATCH(2,$A$12:$A$41,0)),"")</f>
        <v>2</v>
      </c>
      <c r="I6" s="9" t="str">
        <f>IFERROR(INDEX($B$12:$B$41,MATCH(2,$A$12:$A$41,0)),"")</f>
        <v>Stina</v>
      </c>
      <c r="J6" s="9">
        <f>IFERROR(INDEX($C$12:$C$41,MATCH(2,$A$12:$A$41,0)),"")</f>
        <v>3</v>
      </c>
      <c r="K6" s="9">
        <f>IFERROR(INDEX($D$12:$D$41,MATCH(2,$A$12:$A$41,0)),"")</f>
        <v>1</v>
      </c>
      <c r="L6" s="9">
        <f>IFERROR(INDEX($E$12:$E$41,MATCH(2,$A$12:$A$41,0)),"")</f>
        <v>1</v>
      </c>
      <c r="M6" s="9"/>
      <c r="N6" s="9"/>
    </row>
    <row r="7" spans="1:14" ht="45">
      <c r="A7" s="2" t="s">
        <v>11</v>
      </c>
      <c r="B7" s="10">
        <f>IFERROR(AVERAGE(C12:C41),0)</f>
        <v>1.0333333333333334</v>
      </c>
      <c r="C7" s="9"/>
      <c r="D7" s="9"/>
      <c r="E7" s="9"/>
      <c r="F7" s="9"/>
      <c r="G7" s="9"/>
      <c r="H7" s="9">
        <f>IFERROR(INDEX($A$12:$A$41,MATCH(3,$A$12:$A$41,0)),"")</f>
        <v>3</v>
      </c>
      <c r="I7" s="9" t="str">
        <f>IFERROR(INDEX($B$12:$B$41,MATCH(3,$A$12:$A$41,0)),"")</f>
        <v>Robban</v>
      </c>
      <c r="J7" s="9">
        <f>IFERROR(INDEX($C$12:$C$41,MATCH(3,$A$12:$A$41,0)),"")</f>
        <v>3</v>
      </c>
      <c r="K7" s="9">
        <f>IFERROR(INDEX($D$12:$D$41,MATCH(3,$A$12:$A$41,0)),"")</f>
        <v>1</v>
      </c>
      <c r="L7" s="9">
        <f>IFERROR(INDEX($E$12:$E$41,MATCH(3,$A$12:$A$41,0)),"")</f>
        <v>1</v>
      </c>
      <c r="M7" s="9"/>
      <c r="N7" s="9"/>
    </row>
    <row r="8" spans="1:14" ht="30">
      <c r="A8" s="2" t="s">
        <v>12</v>
      </c>
      <c r="B8" s="10">
        <f>IFERROR(MAX(C12:C41),0)</f>
        <v>3</v>
      </c>
      <c r="C8" s="9"/>
      <c r="D8" s="9"/>
      <c r="E8" s="9"/>
      <c r="F8" s="9"/>
      <c r="G8" s="9"/>
      <c r="H8" s="9">
        <f>IFERROR(INDEX($A$12:$A$41,MATCH(4,$A$12:$A$41,0)),"")</f>
        <v>4</v>
      </c>
      <c r="I8" s="9" t="str">
        <f>IFERROR(INDEX($B$12:$B$41,MATCH(4,$A$12:$A$41,0)),"")</f>
        <v>Clabbe</v>
      </c>
      <c r="J8" s="9">
        <f>IFERROR(INDEX($C$12:$C$41,MATCH(4,$A$12:$A$41,0)),"")</f>
        <v>3</v>
      </c>
      <c r="K8" s="9">
        <f>IFERROR(INDEX($D$12:$D$41,MATCH(4,$A$12:$A$41,0)),"")</f>
        <v>1</v>
      </c>
      <c r="L8" s="9">
        <f>IFERROR(INDEX($E$12:$E$41,MATCH(4,$A$12:$A$41,0)),"")</f>
        <v>1</v>
      </c>
      <c r="M8" s="9"/>
      <c r="N8" s="9"/>
    </row>
    <row r="9" spans="1:14">
      <c r="A9" s="9"/>
      <c r="B9" s="9"/>
      <c r="C9" s="9"/>
      <c r="D9" s="9"/>
      <c r="E9" s="9"/>
      <c r="F9" s="9"/>
      <c r="G9" s="9"/>
      <c r="H9" s="9">
        <f>IFERROR(INDEX($A$12:$A$41,MATCH(5,$A$12:$A$41,0)),"")</f>
        <v>5</v>
      </c>
      <c r="I9" s="9" t="str">
        <f>IFERROR(INDEX($B$12:$B$41,MATCH(5,$A$12:$A$41,0)),"")</f>
        <v>Dennis</v>
      </c>
      <c r="J9" s="9">
        <f>IFERROR(INDEX($C$12:$C$41,MATCH(5,$A$12:$A$41,0)),"")</f>
        <v>3</v>
      </c>
      <c r="K9" s="9">
        <f>IFERROR(INDEX($D$12:$D$41,MATCH(5,$A$12:$A$41,0)),"")</f>
        <v>1</v>
      </c>
      <c r="L9" s="9">
        <f>IFERROR(INDEX($E$12:$E$41,MATCH(5,$A$12:$A$41,0)),"")</f>
        <v>1</v>
      </c>
      <c r="M9" s="9"/>
      <c r="N9" s="9"/>
    </row>
    <row r="10" spans="1:14">
      <c r="A10" s="9"/>
      <c r="B10" s="9"/>
      <c r="C10" s="9"/>
      <c r="D10" s="9"/>
      <c r="E10" s="9"/>
      <c r="F10" s="9"/>
      <c r="G10" s="9"/>
      <c r="H10" s="9">
        <f>IFERROR(INDEX($A$12:$A$41,MATCH(6,$A$12:$A$41,0)),"")</f>
        <v>6</v>
      </c>
      <c r="I10" s="9" t="str">
        <f>IFERROR(INDEX($B$12:$B$41,MATCH(6,$A$12:$A$41,0)),"")</f>
        <v>Nizze</v>
      </c>
      <c r="J10" s="9">
        <f>IFERROR(INDEX($C$12:$C$41,MATCH(6,$A$12:$A$41,0)),"")</f>
        <v>3</v>
      </c>
      <c r="K10" s="9">
        <f>IFERROR(INDEX($D$12:$D$41,MATCH(6,$A$12:$A$41,0)),"")</f>
        <v>1</v>
      </c>
      <c r="L10" s="9">
        <f>IFERROR(INDEX($E$12:$E$41,MATCH(6,$A$12:$A$41,0)),"")</f>
        <v>1</v>
      </c>
      <c r="M10" s="9"/>
      <c r="N10" s="9"/>
    </row>
    <row r="11" spans="1:14" ht="15">
      <c r="A11" s="1" t="s">
        <v>13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14</v>
      </c>
      <c r="G11" s="9"/>
      <c r="H11" s="9">
        <f>IFERROR(INDEX($A$12:$A$41,MATCH(7,$A$12:$A$41,0)),"")</f>
        <v>7</v>
      </c>
      <c r="I11" s="9" t="str">
        <f>IFERROR(INDEX($B$12:$B$41,MATCH(7,$A$12:$A$41,0)),"")</f>
        <v>Janne</v>
      </c>
      <c r="J11" s="9">
        <f>IFERROR(INDEX($C$12:$C$41,MATCH(7,$A$12:$A$41,0)),"")</f>
        <v>1</v>
      </c>
      <c r="K11" s="9">
        <f>IFERROR(INDEX($D$12:$D$41,MATCH(7,$A$12:$A$41,0)),"")</f>
        <v>0</v>
      </c>
      <c r="L11" s="9">
        <f>IFERROR(INDEX($E$12:$E$41,MATCH(7,$A$12:$A$41,0)),"")</f>
        <v>1</v>
      </c>
      <c r="M11" s="9"/>
      <c r="N11" s="9"/>
    </row>
    <row r="12" spans="1:14">
      <c r="A12" s="11">
        <f>IF(C12="","",1+COUNTIF($C$12:$C$41,"&gt;"&amp;C12)+COUNTIFS($C$12:C12,C12)-1)</f>
        <v>1</v>
      </c>
      <c r="B12" s="11" t="str">
        <f>Ricardo!$B$2</f>
        <v>Ricardo</v>
      </c>
      <c r="C12" s="11">
        <f>Ricardo!$G$2</f>
        <v>3</v>
      </c>
      <c r="D12" s="11">
        <f>Ricardo!$J$2</f>
        <v>1</v>
      </c>
      <c r="E12" s="11">
        <f>Ricardo!$L$2</f>
        <v>1</v>
      </c>
      <c r="F12" s="11" t="s">
        <v>15</v>
      </c>
      <c r="G12" s="9"/>
      <c r="H12" s="9">
        <f>IFERROR(INDEX($A$12:$A$41,MATCH(8,$A$12:$A$41,0)),"")</f>
        <v>8</v>
      </c>
      <c r="I12" s="9" t="str">
        <f>IFERROR(INDEX($B$12:$B$41,MATCH(8,$A$12:$A$41,0)),"")</f>
        <v>Bosse</v>
      </c>
      <c r="J12" s="9">
        <f>IFERROR(INDEX($C$12:$C$41,MATCH(8,$A$12:$A$41,0)),"")</f>
        <v>1</v>
      </c>
      <c r="K12" s="9">
        <f>IFERROR(INDEX($D$12:$D$41,MATCH(8,$A$12:$A$41,0)),"")</f>
        <v>0</v>
      </c>
      <c r="L12" s="9">
        <f>IFERROR(INDEX($E$12:$E$41,MATCH(8,$A$12:$A$41,0)),"")</f>
        <v>1</v>
      </c>
      <c r="M12" s="9"/>
      <c r="N12" s="9"/>
    </row>
    <row r="13" spans="1:14">
      <c r="A13" s="11">
        <f>IF(C13="","",1+COUNTIF($C$12:$C$41,"&gt;"&amp;C13)+COUNTIFS($C$12:C13,C13)-1)</f>
        <v>7</v>
      </c>
      <c r="B13" s="11" t="str">
        <f>Janne!$B$2</f>
        <v>Janne</v>
      </c>
      <c r="C13" s="11">
        <f>Janne!$G$2</f>
        <v>1</v>
      </c>
      <c r="D13" s="11">
        <f>Janne!$J$2</f>
        <v>0</v>
      </c>
      <c r="E13" s="11">
        <f>Janne!$L$2</f>
        <v>1</v>
      </c>
      <c r="F13" s="11" t="s">
        <v>16</v>
      </c>
      <c r="G13" s="9"/>
      <c r="H13" s="9">
        <f>IFERROR(INDEX($A$12:$A$41,MATCH(9,$A$12:$A$41,0)),"")</f>
        <v>9</v>
      </c>
      <c r="I13" s="9" t="str">
        <f>IFERROR(INDEX($B$12:$B$41,MATCH(9,$A$12:$A$41,0)),"")</f>
        <v>Chrille</v>
      </c>
      <c r="J13" s="9">
        <f>IFERROR(INDEX($C$12:$C$41,MATCH(9,$A$12:$A$41,0)),"")</f>
        <v>1</v>
      </c>
      <c r="K13" s="9">
        <f>IFERROR(INDEX($D$12:$D$41,MATCH(9,$A$12:$A$41,0)),"")</f>
        <v>0</v>
      </c>
      <c r="L13" s="9">
        <f>IFERROR(INDEX($E$12:$E$41,MATCH(9,$A$12:$A$41,0)),"")</f>
        <v>1</v>
      </c>
      <c r="M13" s="9"/>
      <c r="N13" s="9"/>
    </row>
    <row r="14" spans="1:14">
      <c r="A14" s="11">
        <f>IF(C14="","",1+COUNTIF($C$12:$C$41,"&gt;"&amp;C14)+COUNTIFS($C$12:C14,C14)-1)</f>
        <v>8</v>
      </c>
      <c r="B14" s="11" t="str">
        <f>Bosse!$B$2</f>
        <v>Bosse</v>
      </c>
      <c r="C14" s="11">
        <f>Bosse!$G$2</f>
        <v>1</v>
      </c>
      <c r="D14" s="11">
        <f>Bosse!$J$2</f>
        <v>0</v>
      </c>
      <c r="E14" s="11">
        <f>Bosse!$L$2</f>
        <v>1</v>
      </c>
      <c r="F14" s="11" t="s">
        <v>17</v>
      </c>
      <c r="G14" s="9"/>
      <c r="H14" s="9">
        <f>IFERROR(INDEX($A$12:$A$41,MATCH(10,$A$12:$A$41,0)),"")</f>
        <v>10</v>
      </c>
      <c r="I14" s="9" t="str">
        <f>IFERROR(INDEX($B$12:$B$41,MATCH(10,$A$12:$A$41,0)),"")</f>
        <v>John T.</v>
      </c>
      <c r="J14" s="9">
        <f>IFERROR(INDEX($C$12:$C$41,MATCH(10,$A$12:$A$41,0)),"")</f>
        <v>1</v>
      </c>
      <c r="K14" s="9">
        <f>IFERROR(INDEX($D$12:$D$41,MATCH(10,$A$12:$A$41,0)),"")</f>
        <v>0</v>
      </c>
      <c r="L14" s="9">
        <f>IFERROR(INDEX($E$12:$E$41,MATCH(10,$A$12:$A$41,0)),"")</f>
        <v>1</v>
      </c>
      <c r="M14" s="9"/>
      <c r="N14" s="9"/>
    </row>
    <row r="15" spans="1:14">
      <c r="A15" s="11">
        <f>IF(C15="","",1+COUNTIF($C$12:$C$41,"&gt;"&amp;C15)+COUNTIFS($C$12:C15,C15)-1)</f>
        <v>2</v>
      </c>
      <c r="B15" s="11" t="str">
        <f>Stina!$B$2</f>
        <v>Stina</v>
      </c>
      <c r="C15" s="11">
        <f>Stina!$G$2</f>
        <v>3</v>
      </c>
      <c r="D15" s="11">
        <f>Stina!$J$2</f>
        <v>1</v>
      </c>
      <c r="E15" s="11">
        <f>Stina!$L$2</f>
        <v>1</v>
      </c>
      <c r="F15" s="11" t="s">
        <v>18</v>
      </c>
      <c r="G15" s="9"/>
      <c r="H15" s="9"/>
      <c r="I15" s="9"/>
      <c r="J15" s="9"/>
      <c r="K15" s="9"/>
      <c r="L15" s="9"/>
      <c r="M15" s="9"/>
      <c r="N15" s="9"/>
    </row>
    <row r="16" spans="1:14">
      <c r="A16" s="11">
        <f>IF(C16="","",1+COUNTIF($C$12:$C$41,"&gt;"&amp;C16)+COUNTIFS($C$12:C16,C16)-1)</f>
        <v>3</v>
      </c>
      <c r="B16" s="11" t="str">
        <f>Robban!$B$2</f>
        <v>Robban</v>
      </c>
      <c r="C16" s="11">
        <f>Robban!$G$2</f>
        <v>3</v>
      </c>
      <c r="D16" s="11">
        <f>Robban!$J$2</f>
        <v>1</v>
      </c>
      <c r="E16" s="11">
        <f>Robban!$L$2</f>
        <v>1</v>
      </c>
      <c r="F16" s="11" t="s">
        <v>19</v>
      </c>
      <c r="G16" s="9"/>
      <c r="H16" s="9"/>
      <c r="I16" s="9"/>
      <c r="J16" s="9"/>
      <c r="K16" s="9"/>
      <c r="L16" s="9"/>
      <c r="M16" s="9"/>
      <c r="N16" s="9"/>
    </row>
    <row r="17" spans="1:14" ht="15">
      <c r="A17" s="11">
        <f>IF(C17="","",1+COUNTIF($C$12:$C$41,"&gt;"&amp;C17)+COUNTIFS($C$12:C17,C17)-1)</f>
        <v>9</v>
      </c>
      <c r="B17" s="11" t="str">
        <f>Chrille!$B$2</f>
        <v>Chrille</v>
      </c>
      <c r="C17" s="11">
        <f>Chrille!$G$2</f>
        <v>1</v>
      </c>
      <c r="D17" s="11">
        <f>Chrille!$J$2</f>
        <v>0</v>
      </c>
      <c r="E17" s="11">
        <f>Chrille!$L$2</f>
        <v>1</v>
      </c>
      <c r="F17" s="11" t="s">
        <v>20</v>
      </c>
      <c r="G17" s="9"/>
      <c r="H17" s="27" t="s">
        <v>21</v>
      </c>
      <c r="I17" s="26"/>
      <c r="J17" s="26"/>
      <c r="K17" s="26"/>
      <c r="L17" s="26"/>
      <c r="M17" s="26"/>
      <c r="N17" s="26"/>
    </row>
    <row r="18" spans="1:14" ht="30">
      <c r="A18" s="11">
        <f>IF(C18="","",1+COUNTIF($C$12:$C$41,"&gt;"&amp;C18)+COUNTIFS($C$12:C18,C18)-1)</f>
        <v>10</v>
      </c>
      <c r="B18" s="11" t="str">
        <f>'John T.'!$B$2</f>
        <v>John T.</v>
      </c>
      <c r="C18" s="11">
        <f>'John T.'!$G$2</f>
        <v>1</v>
      </c>
      <c r="D18" s="11">
        <f>'John T.'!$J$2</f>
        <v>0</v>
      </c>
      <c r="E18" s="11">
        <f>'John T.'!$L$2</f>
        <v>1</v>
      </c>
      <c r="F18" s="11" t="s">
        <v>22</v>
      </c>
      <c r="G18" s="9"/>
      <c r="H18" s="1" t="s">
        <v>23</v>
      </c>
      <c r="I18" s="1" t="s">
        <v>24</v>
      </c>
      <c r="J18" s="1"/>
      <c r="K18" s="1" t="s">
        <v>25</v>
      </c>
      <c r="L18" s="1" t="s">
        <v>26</v>
      </c>
      <c r="M18" s="1" t="s">
        <v>27</v>
      </c>
      <c r="N18" s="1" t="s">
        <v>26</v>
      </c>
    </row>
    <row r="19" spans="1:14">
      <c r="A19" s="11">
        <f>IF(C19="","",1+COUNTIF($C$12:$C$41,"&gt;"&amp;C19)+COUNTIFS($C$12:C19,C19)-1)</f>
        <v>4</v>
      </c>
      <c r="B19" s="11" t="str">
        <f>Clabbe!$B$2</f>
        <v>Clabbe</v>
      </c>
      <c r="C19" s="11">
        <f>Clabbe!$G$2</f>
        <v>3</v>
      </c>
      <c r="D19" s="11">
        <f>Clabbe!$J$2</f>
        <v>1</v>
      </c>
      <c r="E19" s="11">
        <f>Clabbe!$L$2</f>
        <v>1</v>
      </c>
      <c r="F19" s="11" t="s">
        <v>28</v>
      </c>
      <c r="G19" s="9"/>
      <c r="H19" s="9" t="s">
        <v>29</v>
      </c>
      <c r="I19" s="9">
        <f>(COUNT(Ricardo!I7:J110)+COUNT(Janne!I7:J110)+COUNT(Bosse!I7:J110)+COUNT(Stina!I7:J110)+COUNT(Robban!I7:J110)+COUNT(Chrille!I7:J110)+COUNT('John T.'!I7:J110)+COUNT(Clabbe!I7:J110)+COUNT(Dennis!I7:J110)+COUNT(Monfors!I7:J110)+COUNT('Anders D.'!I7:J110)+COUNT(Evelina!I7:J110)+COUNT(Nizze!I7:J110)+COUNT(Sorken!I7:J110)+COUNT(Peter!I7:J110)+COUNT(Antonia!I7:J110)+COUNT('Niklas A.'!I7:J110)+COUNT('Thomas B.'!I7:J110)+COUNT(Micke!I7:J110)+COUNT(Robin!I7:J110)+COUNT('Spelare 21'!I7:J110)+COUNT('Spelare 22'!I7:J110)+COUNT('Spelare 23'!I7:J110)+COUNT('Spelare 24'!I7:J110)+COUNT('Spelare 25'!I7:J110)+COUNT('Spelare 26'!I7:J110)+COUNT('Spelare 27'!I7:J110)+COUNT('Spelare 28'!I7:J110)+COUNT('Spelare 29'!I7:J110)+COUNT('Spelare 30'!I7:J110))/2</f>
        <v>2080</v>
      </c>
      <c r="J19" s="9"/>
      <c r="K19" s="9" t="s">
        <v>30</v>
      </c>
      <c r="L19" s="9">
        <f>COUNTIF(Ricardo!K7:K110,"1")+COUNTIF(Janne!K7:K110,"1")+COUNTIF(Bosse!K7:K110,"1")+COUNTIF(Stina!K7:K110,"1")+COUNTIF(Robban!K7:K110,"1")+COUNTIF(Chrille!K7:K110,"1")+COUNTIF('John T.'!K7:K110,"1")+COUNTIF(Clabbe!K7:K110,"1")+COUNTIF(Dennis!K7:K110,"1")+COUNTIF(Monfors!K7:K110,"1")+COUNTIF('Anders D.'!K7:K110,"1")+COUNTIF(Evelina!K7:K110,"1")+COUNTIF(Nizze!K7:K110,"1")+COUNTIF(Sorken!K7:K110,"1")+COUNTIF(Peter!K7:K110,"1")+COUNTIF(Antonia!K7:K110,"1")+COUNTIF('Niklas A.'!K7:K110,"1")+COUNTIF('Thomas B.'!K7:K110,"1")+COUNTIF(Micke!K7:K110,"1")+COUNTIF(Robin!K7:K110,"1")+COUNTIF('Spelare 21'!K7:K110,"1")+COUNTIF('Spelare 22'!K7:K110,"1")+COUNTIF('Spelare 23'!K7:K110,"1")+COUNTIF('Spelare 24'!K7:K110,"1")+COUNTIF('Spelare 25'!K7:K110,"1")+COUNTIF('Spelare 26'!K7:K110,"1")+COUNTIF('Spelare 27'!K7:K110,"1")+COUNTIF('Spelare 28'!K7:K110,"1")+COUNTIF('Spelare 29'!K7:K110,"1")+COUNTIF('Spelare 30'!K7:K110,"1")</f>
        <v>961</v>
      </c>
      <c r="M19" s="9" t="s">
        <v>31</v>
      </c>
      <c r="N19" s="9">
        <f>COUNTIF(Ricardo!I7:J110,0)+COUNTIF(Janne!I7:J110,0)+COUNTIF(Bosse!I7:J110,0)+COUNTIF(Stina!I7:J110,0)+COUNTIF(Robban!I7:J110,0)+COUNTIF(Chrille!I7:J110,0)+COUNTIF('John T.'!I7:J110,0)+COUNTIF(Clabbe!I7:J110,0)+COUNTIF(Dennis!I7:J110,0)+COUNTIF(Monfors!I7:J110,0)+COUNTIF('Anders D.'!I7:J110,0)+COUNTIF(Evelina!I7:J110,0)+COUNTIF(Nizze!I7:J110,0)+COUNTIF(Sorken!I7:J110,0)+COUNTIF(Peter!I7:J110,0)+COUNTIF(Antonia!I7:J110,0)+COUNTIF('Niklas A.'!I7:J110,0)+COUNTIF('Thomas B.'!I7:J110,0)+COUNTIF(Micke!I7:J110,0)+COUNTIF(Robin!I7:J110,0)+COUNTIF('Spelare 21'!I7:J110,0)+COUNTIF('Spelare 22'!I7:J110,0)+COUNTIF('Spelare 23'!I7:J110,0)+COUNTIF('Spelare 24'!I7:J110,0)+COUNTIF('Spelare 25'!I7:J110,0)+COUNTIF('Spelare 26'!I7:J110,0)+COUNTIF('Spelare 27'!I7:J110,0)+COUNTIF('Spelare 28'!I7:J110,0)+COUNTIF('Spelare 29'!I7:J110,0)+COUNTIF('Spelare 30'!I7:J110,0)</f>
        <v>1195</v>
      </c>
    </row>
    <row r="20" spans="1:14">
      <c r="A20" s="11">
        <f>IF(C20="","",1+COUNTIF($C$12:$C$41,"&gt;"&amp;C20)+COUNTIFS($C$12:C20,C20)-1)</f>
        <v>5</v>
      </c>
      <c r="B20" s="11" t="str">
        <f>Dennis!$B$2</f>
        <v>Dennis</v>
      </c>
      <c r="C20" s="11">
        <f>Dennis!$G$2</f>
        <v>3</v>
      </c>
      <c r="D20" s="11">
        <f>Dennis!$J$2</f>
        <v>1</v>
      </c>
      <c r="E20" s="11">
        <f>Dennis!$L$2</f>
        <v>1</v>
      </c>
      <c r="F20" s="11" t="s">
        <v>32</v>
      </c>
      <c r="G20" s="9"/>
      <c r="H20" s="9" t="s">
        <v>33</v>
      </c>
      <c r="I20" s="18">
        <f>IFERROR((SUM(Ricardo!I7:J110)+SUM(Janne!I7:J110)+SUM(Bosse!I7:J110)+SUM(Stina!I7:J110)+SUM(Robban!I7:J110)+SUM(Chrille!I7:J110)+SUM('John T.'!I7:J110)+SUM(Clabbe!I7:J110)+SUM(Dennis!I7:J110)+SUM(Monfors!I7:J110)+SUM('Anders D.'!I7:J110)+SUM(Evelina!I7:J110)+SUM(Nizze!I7:J110)+SUM(Sorken!I7:J110)+SUM(Peter!I7:J110)+SUM(Antonia!I7:J110)+SUM('Niklas A.'!I7:J110)+SUM('Thomas B.'!I7:J110)+SUM(Micke!I7:J110)+SUM(Robin!I7:J110)+SUM('Spelare 21'!I7:J110)+SUM('Spelare 22'!I7:J110)+SUM('Spelare 23'!I7:J110)+SUM('Spelare 24'!I7:J110)+SUM('Spelare 25'!I7:J110)+SUM('Spelare 26'!I7:J110)+SUM('Spelare 27'!I7:J110)+SUM('Spelare 28'!I7:J110)+SUM('Spelare 29'!I7:J110)+SUM('Spelare 30'!I7:J110))/(COUNT(Ricardo!I7:J110)+COUNT(Janne!I7:J110)+COUNT(Bosse!I7:J110)+COUNT(Stina!I7:J110)+COUNT(Robban!I7:J110)+COUNT(Chrille!I7:J110)+COUNT('John T.'!I7:J110)+COUNT(Clabbe!I7:J110)+COUNT(Dennis!I7:J110)+COUNT(Monfors!I7:J110)+COUNT('Anders D.'!I7:J110)+COUNT(Evelina!I7:J110)+COUNT(Nizze!I7:J110)+COUNT(Sorken!I7:J110)+COUNT(Peter!I7:J110)+COUNT(Antonia!I7:J110)+COUNT('Niklas A.'!I7:J110)+COUNT('Thomas B.'!I7:J110)+COUNT(Micke!I7:J110)+COUNT(Robin!I7:J110)+COUNT('Spelare 21'!I7:J110)+COUNT('Spelare 22'!I7:J110)+COUNT('Spelare 23'!I7:J110)+COUNT('Spelare 24'!I7:J110)+COUNT('Spelare 25'!I7:J110)+COUNT('Spelare 26'!I7:J110)+COUNT('Spelare 27'!I7:J110)+COUNT('Spelare 28'!I7:J110)+COUNT('Spelare 29'!I7:J110)+COUNT('Spelare 30'!I7:J110)/2),0)</f>
        <v>1.1795673076923077</v>
      </c>
      <c r="J20" s="9"/>
      <c r="K20" s="9" t="s">
        <v>34</v>
      </c>
      <c r="L20" s="9">
        <f>COUNTIF(Ricardo!K7:K110,"X")+COUNTIF(Janne!K7:K110,"X")+COUNTIF(Bosse!K7:K110,"X")+COUNTIF(Stina!K7:K110,"X")+COUNTIF(Robban!K7:K110,"X")+COUNTIF(Chrille!K7:K110,"X")+COUNTIF('John T.'!K7:K110,"X")+COUNTIF(Clabbe!K7:K110,"X")+COUNTIF(Dennis!K7:K110,"X")+COUNTIF(Monfors!K7:K110,"X")+COUNTIF('Anders D.'!K7:K110,"X")+COUNTIF(Evelina!K7:K110,"X")+COUNTIF(Nizze!K7:K110,"X")+COUNTIF(Sorken!K7:K110,"X")+COUNTIF(Peter!K7:K110,"X")+COUNTIF(Antonia!K7:K110,"X")+COUNTIF('Niklas A.'!K7:K110,"X")+COUNTIF('Thomas B.'!K7:K110,"X")+COUNTIF(Micke!K7:K110,"X")+COUNTIF(Robin!K7:K110,"X")+COUNTIF('Spelare 21'!K7:K110,"X")+COUNTIF('Spelare 22'!K7:K110,"X")+COUNTIF('Spelare 23'!K7:K110,"X")+COUNTIF('Spelare 24'!K7:K110,"X")+COUNTIF('Spelare 25'!K7:K110,"X")+COUNTIF('Spelare 26'!K7:K110,"X")+COUNTIF('Spelare 27'!K7:K110,"X")+COUNTIF('Spelare 28'!K7:K110,"X")+COUNTIF('Spelare 29'!K7:K110,"X")+COUNTIF('Spelare 30'!K7:K110,"X")</f>
        <v>537</v>
      </c>
      <c r="M20" s="9" t="s">
        <v>30</v>
      </c>
      <c r="N20" s="9">
        <f>COUNTIF(Ricardo!I7:J110,1)+COUNTIF(Janne!I7:J110,1)+COUNTIF(Bosse!I7:J110,1)+COUNTIF(Stina!I7:J110,1)+COUNTIF(Robban!I7:J110,1)+COUNTIF(Chrille!I7:J110,1)+COUNTIF('John T.'!I7:J110,1)+COUNTIF(Clabbe!I7:J110,1)+COUNTIF(Dennis!I7:J110,1)+COUNTIF(Monfors!I7:J110,1)+COUNTIF('Anders D.'!I7:J110,1)+COUNTIF(Evelina!I7:J110,1)+COUNTIF(Nizze!I7:J110,1)+COUNTIF(Sorken!I7:J110,1)+COUNTIF(Peter!I7:J110,1)+COUNTIF(Antonia!I7:J110,1)+COUNTIF('Niklas A.'!I7:J110,1)+COUNTIF('Thomas B.'!I7:J110,1)+COUNTIF(Micke!I7:J110,1)+COUNTIF(Robin!I7:J110,1)+COUNTIF('Spelare 21'!I7:J110,1)+COUNTIF('Spelare 22'!I7:J110,1)+COUNTIF('Spelare 23'!I7:J110,1)+COUNTIF('Spelare 24'!I7:J110,1)+COUNTIF('Spelare 25'!I7:J110,1)+COUNTIF('Spelare 26'!I7:J110,1)+COUNTIF('Spelare 27'!I7:J110,1)+COUNTIF('Spelare 28'!I7:J110,1)+COUNTIF('Spelare 29'!I7:J110,1)+COUNTIF('Spelare 30'!I7:J110,1)</f>
        <v>1477</v>
      </c>
    </row>
    <row r="21" spans="1:14">
      <c r="A21" s="11">
        <f>IF(C21="","",1+COUNTIF($C$12:$C$41,"&gt;"&amp;C21)+COUNTIFS($C$12:C21,C21)-1)</f>
        <v>11</v>
      </c>
      <c r="B21" s="11" t="str">
        <f>Monfors!$B$2</f>
        <v>A. Monfors</v>
      </c>
      <c r="C21" s="11">
        <f>Monfors!$G$2</f>
        <v>1</v>
      </c>
      <c r="D21" s="11">
        <f>Monfors!$J$2</f>
        <v>0</v>
      </c>
      <c r="E21" s="11">
        <f>Monfors!$L$2</f>
        <v>1</v>
      </c>
      <c r="F21" s="11" t="s">
        <v>35</v>
      </c>
      <c r="G21" s="9"/>
      <c r="H21" s="9" t="s">
        <v>36</v>
      </c>
      <c r="I21" s="9">
        <f>COUNTIF(Ricardo!K7:K110,"1")+COUNTIF(Janne!K7:K110,"1")+COUNTIF(Bosse!K7:K110,"1")+COUNTIF(Stina!K7:K110,"1")+COUNTIF(Robban!K7:K110,"1")+COUNTIF(Chrille!K7:K110,"1")+COUNTIF('John T.'!K7:K110,"1")+COUNTIF(Clabbe!K7:K110,"1")+COUNTIF(Dennis!K7:K110,"1")+COUNTIF(Monfors!K7:K110,"1")+COUNTIF('Anders D.'!K7:K110,"1")+COUNTIF(Evelina!K7:K110,"1")+COUNTIF(Nizze!K7:K110,"1")+COUNTIF(Sorken!K7:K110,"1")+COUNTIF(Peter!K7:K110,"1")+COUNTIF(Antonia!K7:K110,"1")+COUNTIF('Niklas A.'!K7:K110,"1")+COUNTIF('Thomas B.'!K7:K110,"1")+COUNTIF(Micke!K7:K110,"1")+COUNTIF(Robin!K7:K110,"1")+COUNTIF('Spelare 21'!K7:K110,"1")+COUNTIF('Spelare 22'!K7:K110,"1")+COUNTIF('Spelare 23'!K7:K110,"1")+COUNTIF('Spelare 24'!K7:K110,"1")+COUNTIF('Spelare 25'!K7:K110,"1")+COUNTIF('Spelare 26'!K7:K110,"1")+COUNTIF('Spelare 27'!K7:K110,"1")+COUNTIF('Spelare 28'!K7:K110,"1")+COUNTIF('Spelare 29'!K7:K110,"1")+COUNTIF('Spelare 30'!K7:K110,"1")</f>
        <v>961</v>
      </c>
      <c r="J21" s="9"/>
      <c r="K21" s="9" t="s">
        <v>37</v>
      </c>
      <c r="L21" s="9">
        <f>COUNTIF(Ricardo!K7:K110,"2")+COUNTIF(Janne!K7:K110,"2")+COUNTIF(Bosse!K7:K110,"2")+COUNTIF(Stina!K7:K110,"2")+COUNTIF(Robban!K7:K110,"2")+COUNTIF(Chrille!K7:K110,"2")+COUNTIF('John T.'!K7:K110,"2")+COUNTIF(Clabbe!K7:K110,"2")+COUNTIF(Dennis!K7:K110,"2")+COUNTIF(Monfors!K7:K110,"2")+COUNTIF('Anders D.'!K7:K110,"2")+COUNTIF(Evelina!K7:K110,"2")+COUNTIF(Nizze!K7:K110,"2")+COUNTIF(Sorken!K7:K110,"2")+COUNTIF(Peter!K7:K110,"2")+COUNTIF(Antonia!K7:K110,"2")+COUNTIF('Niklas A.'!K7:K110,"2")+COUNTIF('Thomas B.'!K7:K110,"2")+COUNTIF(Micke!K7:K110,"2")+COUNTIF(Robin!K7:K110,"2")+COUNTIF('Spelare 21'!K7:K110,"2")+COUNTIF('Spelare 22'!K7:K110,"2")+COUNTIF('Spelare 23'!K7:K110,"2")+COUNTIF('Spelare 24'!K7:K110,"2")+COUNTIF('Spelare 25'!K7:K110,"2")+COUNTIF('Spelare 26'!K7:K110,"2")+COUNTIF('Spelare 27'!K7:K110,"2")+COUNTIF('Spelare 28'!K7:K110,"2")+COUNTIF('Spelare 29'!K7:K110,"2")+COUNTIF('Spelare 30'!K7:K110,"2")</f>
        <v>582</v>
      </c>
      <c r="M21" s="9" t="s">
        <v>37</v>
      </c>
      <c r="N21" s="9">
        <f>COUNTIF(Ricardo!I7:J110,2)+COUNTIF(Janne!I7:J110,2)+COUNTIF(Bosse!I7:J110,2)+COUNTIF(Stina!I7:J110,2)+COUNTIF(Robban!I7:J110,2)+COUNTIF(Chrille!I7:J110,2)+COUNTIF('John T.'!I7:J110,2)+COUNTIF(Clabbe!I7:J110,2)+COUNTIF(Dennis!I7:J110,2)+COUNTIF(Monfors!I7:J110,2)+COUNTIF('Anders D.'!I7:J110,2)+COUNTIF(Evelina!I7:J110,2)+COUNTIF(Nizze!I7:J110,2)+COUNTIF(Sorken!I7:J110,2)+COUNTIF(Peter!I7:J110,2)+COUNTIF(Antonia!I7:J110,2)+COUNTIF('Niklas A.'!I7:J110,2)+COUNTIF('Thomas B.'!I7:J110,2)+COUNTIF(Micke!I7:J110,2)+COUNTIF(Robin!I7:J110,2)+COUNTIF('Spelare 21'!I7:J110,2)+COUNTIF('Spelare 22'!I7:J110,2)+COUNTIF('Spelare 23'!I7:J110,2)+COUNTIF('Spelare 24'!I7:J110,2)+COUNTIF('Spelare 25'!I7:J110,2)+COUNTIF('Spelare 26'!I7:J110,2)+COUNTIF('Spelare 27'!I7:J110,2)+COUNTIF('Spelare 28'!I7:J110,2)+COUNTIF('Spelare 29'!I7:J110,2)+COUNTIF('Spelare 30'!I7:J110,2)</f>
        <v>1120</v>
      </c>
    </row>
    <row r="22" spans="1:14">
      <c r="A22" s="11">
        <f>IF(C22="","",1+COUNTIF($C$12:$C$41,"&gt;"&amp;C22)+COUNTIFS($C$12:C22,C22)-1)</f>
        <v>12</v>
      </c>
      <c r="B22" s="11" t="str">
        <f>'Anders D.'!$B$2</f>
        <v>Anders D.</v>
      </c>
      <c r="C22" s="11">
        <f>'Anders D.'!$G$2</f>
        <v>1</v>
      </c>
      <c r="D22" s="11">
        <f>'Anders D.'!$J$2</f>
        <v>0</v>
      </c>
      <c r="E22" s="11">
        <f>'Anders D.'!$L$2</f>
        <v>1</v>
      </c>
      <c r="F22" s="11" t="s">
        <v>38</v>
      </c>
      <c r="G22" s="9"/>
      <c r="H22" s="9" t="s">
        <v>39</v>
      </c>
      <c r="I22" s="9">
        <f>COUNTIF(Ricardo!K7:K110,"X")+COUNTIF(Janne!K7:K110,"X")+COUNTIF(Bosse!K7:K110,"X")+COUNTIF(Stina!K7:K110,"X")+COUNTIF(Robban!K7:K110,"X")+COUNTIF(Chrille!K7:K110,"X")+COUNTIF('John T.'!K7:K110,"X")+COUNTIF(Clabbe!K7:K110,"X")+COUNTIF(Dennis!K7:K110,"X")+COUNTIF(Monfors!K7:K110,"X")+COUNTIF('Anders D.'!K7:K110,"X")+COUNTIF(Evelina!K7:K110,"X")+COUNTIF(Nizze!K7:K110,"X")+COUNTIF(Sorken!K7:K110,"X")+COUNTIF(Peter!K7:K110,"X")+COUNTIF(Antonia!K7:K110,"X")+COUNTIF('Niklas A.'!K7:K110,"X")+COUNTIF('Thomas B.'!K7:K110,"X")+COUNTIF(Micke!K7:K110,"X")+COUNTIF(Robin!K7:K110,"X")+COUNTIF('Spelare 21'!K7:K110,"X")+COUNTIF('Spelare 22'!K7:K110,"X")+COUNTIF('Spelare 23'!K7:K110,"X")+COUNTIF('Spelare 24'!K7:K110,"X")+COUNTIF('Spelare 25'!K7:K110,"X")+COUNTIF('Spelare 26'!K7:K110,"X")+COUNTIF('Spelare 27'!K7:K110,"X")+COUNTIF('Spelare 28'!K7:K110,"X")+COUNTIF('Spelare 29'!K7:K110,"X")+COUNTIF('Spelare 30'!K7:K110,"X")</f>
        <v>537</v>
      </c>
      <c r="J22" s="9"/>
      <c r="K22" s="9"/>
      <c r="L22" s="9"/>
      <c r="M22" s="9" t="s">
        <v>40</v>
      </c>
      <c r="N22" s="9">
        <f>COUNTIF(Ricardo!I7:J110,3)+COUNTIF(Janne!I7:J110,3)+COUNTIF(Bosse!I7:J110,3)+COUNTIF(Stina!I7:J110,3)+COUNTIF(Robban!I7:J110,3)+COUNTIF(Chrille!I7:J110,3)+COUNTIF('John T.'!I7:J110,3)+COUNTIF(Clabbe!I7:J110,3)+COUNTIF(Dennis!I7:J110,3)+COUNTIF(Monfors!I7:J110,3)+COUNTIF('Anders D.'!I7:J110,3)+COUNTIF(Evelina!I7:J110,3)+COUNTIF(Nizze!I7:J110,3)+COUNTIF(Sorken!I7:J110,3)+COUNTIF(Peter!I7:J110,3)+COUNTIF(Antonia!I7:J110,3)+COUNTIF('Niklas A.'!I7:J110,3)+COUNTIF('Thomas B.'!I7:J110,3)+COUNTIF(Micke!I7:J110,3)+COUNTIF(Robin!I7:J110,3)+COUNTIF('Spelare 21'!I7:J110,3)+COUNTIF('Spelare 22'!I7:J110,3)+COUNTIF('Spelare 23'!I7:J110,3)+COUNTIF('Spelare 24'!I7:J110,3)+COUNTIF('Spelare 25'!I7:J110,3)+COUNTIF('Spelare 26'!I7:J110,3)+COUNTIF('Spelare 27'!I7:J110,3)+COUNTIF('Spelare 28'!I7:J110,3)+COUNTIF('Spelare 29'!I7:J110,3)+COUNTIF('Spelare 30'!I7:J110,3)</f>
        <v>303</v>
      </c>
    </row>
    <row r="23" spans="1:14">
      <c r="A23" s="11">
        <f>IF(C23="","",1+COUNTIF($C$12:$C$41,"&gt;"&amp;C23)+COUNTIFS($C$12:C23,C23)-1)</f>
        <v>13</v>
      </c>
      <c r="B23" s="11" t="str">
        <f>Evelina!$B$2</f>
        <v>Eve</v>
      </c>
      <c r="C23" s="11">
        <f>Evelina!$G$2</f>
        <v>1</v>
      </c>
      <c r="D23" s="11">
        <f>Evelina!$J$2</f>
        <v>0</v>
      </c>
      <c r="E23" s="11">
        <f>Evelina!$L$2</f>
        <v>1</v>
      </c>
      <c r="F23" s="11" t="s">
        <v>41</v>
      </c>
      <c r="G23" s="9"/>
      <c r="H23" s="9" t="s">
        <v>42</v>
      </c>
      <c r="I23" s="9">
        <f>COUNTIF(Ricardo!K7:K110,"2")+COUNTIF(Janne!K7:K110,"2")+COUNTIF(Bosse!K7:K110,"2")+COUNTIF(Stina!K7:K110,"2")+COUNTIF(Robban!K7:K110,"2")+COUNTIF(Chrille!K7:K110,"2")+COUNTIF('John T.'!K7:K110,"2")+COUNTIF(Clabbe!K7:K110,"2")+COUNTIF(Dennis!K7:K110,"2")+COUNTIF(Monfors!K7:K110,"2")+COUNTIF('Anders D.'!K7:K110,"2")+COUNTIF(Evelina!K7:K110,"2")+COUNTIF(Nizze!K7:K110,"2")+COUNTIF(Sorken!K7:K110,"2")+COUNTIF(Peter!K7:K110,"2")+COUNTIF(Antonia!K7:K110,"2")+COUNTIF('Niklas A.'!K7:K110,"2")+COUNTIF('Thomas B.'!K7:K110,"2")+COUNTIF(Micke!K7:K110,"2")+COUNTIF(Robin!K7:K110,"2")+COUNTIF('Spelare 21'!K7:K110,"2")+COUNTIF('Spelare 22'!K7:K110,"2")+COUNTIF('Spelare 23'!K7:K110,"2")+COUNTIF('Spelare 24'!K7:K110,"2")+COUNTIF('Spelare 25'!K7:K110,"2")+COUNTIF('Spelare 26'!K7:K110,"2")+COUNTIF('Spelare 27'!K7:K110,"2")+COUNTIF('Spelare 28'!K7:K110,"2")+COUNTIF('Spelare 29'!K7:K110,"2")+COUNTIF('Spelare 30'!K7:K110,"2")</f>
        <v>582</v>
      </c>
      <c r="J23" s="9"/>
      <c r="K23" s="9"/>
      <c r="L23" s="9"/>
      <c r="M23" s="9" t="s">
        <v>43</v>
      </c>
      <c r="N23" s="9">
        <f>COUNTIF(Ricardo!I7:J110,"&gt;=4")+COUNTIF(Janne!I7:J110,"&gt;=4")+COUNTIF(Bosse!I7:J110,"&gt;=4")+COUNTIF(Stina!I7:J110,"&gt;=4")+COUNTIF(Robban!I7:J110,"&gt;=4")+COUNTIF(Chrille!I7:J110,"&gt;=4")+COUNTIF('John T.'!I7:J110,"&gt;=4")+COUNTIF(Clabbe!I7:J110,"&gt;=4")+COUNTIF(Dennis!I7:J110,"&gt;=4")+COUNTIF(Monfors!I7:J110,"&gt;=4")+COUNTIF('Anders D.'!I7:J110,"&gt;=4")+COUNTIF(Evelina!I7:J110,"&gt;=4")+COUNTIF(Nizze!I7:J110,"&gt;=4")+COUNTIF(Sorken!I7:J110,"&gt;=4")+COUNTIF(Peter!I7:J110,"&gt;=4")+COUNTIF(Antonia!I7:J110,"&gt;=4")+COUNTIF('Niklas A.'!I7:J110,"&gt;=4")+COUNTIF('Thomas B.'!I7:J110,"&gt;=4")+COUNTIF(Micke!I7:J110,"&gt;=4")+COUNTIF(Robin!I7:J110,"&gt;=4")+COUNTIF('Spelare 21'!I7:J110,"&gt;=4")+COUNTIF('Spelare 22'!I7:J110,"&gt;=4")+COUNTIF('Spelare 23'!I7:J110,"&gt;=4")+COUNTIF('Spelare 24'!I7:J110,"&gt;=4")+COUNTIF('Spelare 25'!I7:J110,"&gt;=4")+COUNTIF('Spelare 26'!I7:J110,"&gt;=4")+COUNTIF('Spelare 27'!I7:J110,"&gt;=4")+COUNTIF('Spelare 28'!I7:J110,"&gt;=4")+COUNTIF('Spelare 29'!I7:J110,"&gt;=4")+COUNTIF('Spelare 30'!I7:J110,"&gt;=4")</f>
        <v>65</v>
      </c>
    </row>
    <row r="24" spans="1:14">
      <c r="A24" s="11">
        <f>IF(C24="","",1+COUNTIF($C$12:$C$41,"&gt;"&amp;C24)+COUNTIFS($C$12:C24,C24)-1)</f>
        <v>6</v>
      </c>
      <c r="B24" s="11" t="str">
        <f>Nizze!$B$2</f>
        <v>Nizze</v>
      </c>
      <c r="C24" s="11">
        <f>Nizze!$G$2</f>
        <v>3</v>
      </c>
      <c r="D24" s="11">
        <f>Nizze!$J$2</f>
        <v>1</v>
      </c>
      <c r="E24" s="11">
        <f>Nizze!$L$2</f>
        <v>1</v>
      </c>
      <c r="F24" s="11" t="s">
        <v>44</v>
      </c>
      <c r="G24" s="9"/>
      <c r="H24" s="9"/>
      <c r="I24" s="9"/>
      <c r="J24" s="9"/>
      <c r="K24" s="9"/>
      <c r="L24" s="9"/>
      <c r="M24" s="9"/>
      <c r="N24" s="9"/>
    </row>
    <row r="25" spans="1:14">
      <c r="A25" s="11">
        <f>IF(C25="","",1+COUNTIF($C$12:$C$41,"&gt;"&amp;C25)+COUNTIFS($C$12:C25,C25)-1)</f>
        <v>20</v>
      </c>
      <c r="B25" s="11" t="str">
        <f>Sorken!$B$2</f>
        <v>Sorken</v>
      </c>
      <c r="C25" s="11">
        <f>Sorken!$G$2</f>
        <v>0</v>
      </c>
      <c r="D25" s="11">
        <f>Sorken!$J$2</f>
        <v>0</v>
      </c>
      <c r="E25" s="11">
        <f>Sorken!$L$2</f>
        <v>0</v>
      </c>
      <c r="F25" s="11" t="s">
        <v>45</v>
      </c>
      <c r="G25" s="9"/>
      <c r="H25" s="9"/>
      <c r="I25" s="9"/>
      <c r="J25" s="9"/>
      <c r="K25" s="9"/>
      <c r="L25" s="9"/>
      <c r="M25" s="9"/>
      <c r="N25" s="9"/>
    </row>
    <row r="26" spans="1:14">
      <c r="A26" s="11">
        <f>IF(C26="","",1+COUNTIF($C$12:$C$41,"&gt;"&amp;C26)+COUNTIFS($C$12:C26,C26)-1)</f>
        <v>14</v>
      </c>
      <c r="B26" s="11" t="str">
        <f>Peter!$B$2</f>
        <v>Peter</v>
      </c>
      <c r="C26" s="11">
        <f>Peter!$G$2</f>
        <v>1</v>
      </c>
      <c r="D26" s="11">
        <f>Peter!$J$2</f>
        <v>0</v>
      </c>
      <c r="E26" s="11">
        <f>Peter!$L$2</f>
        <v>1</v>
      </c>
      <c r="F26" s="11" t="s">
        <v>46</v>
      </c>
      <c r="G26" s="9"/>
      <c r="H26" s="9"/>
      <c r="I26" s="9"/>
      <c r="J26" s="9"/>
      <c r="K26" s="9"/>
      <c r="L26" s="9"/>
      <c r="M26" s="9"/>
      <c r="N26" s="9"/>
    </row>
    <row r="27" spans="1:14">
      <c r="A27" s="11">
        <f>IF(C27="","",1+COUNTIF($C$12:$C$41,"&gt;"&amp;C27)+COUNTIFS($C$12:C27,C27)-1)</f>
        <v>15</v>
      </c>
      <c r="B27" s="11" t="str">
        <f>Antonia!$B$2</f>
        <v>Antonia</v>
      </c>
      <c r="C27" s="11">
        <f>Antonia!$G$2</f>
        <v>1</v>
      </c>
      <c r="D27" s="11">
        <f>Antonia!$J$2</f>
        <v>0</v>
      </c>
      <c r="E27" s="11">
        <f>Antonia!$L$2</f>
        <v>1</v>
      </c>
      <c r="F27" s="11" t="s">
        <v>47</v>
      </c>
      <c r="G27" s="9"/>
      <c r="H27" s="9"/>
      <c r="I27" s="9"/>
      <c r="J27" s="9"/>
      <c r="K27" s="9"/>
      <c r="L27" s="9"/>
      <c r="M27" s="9"/>
      <c r="N27" s="9"/>
    </row>
    <row r="28" spans="1:14">
      <c r="A28" s="11">
        <f>IF(C28="","",1+COUNTIF($C$12:$C$41,"&gt;"&amp;C28)+COUNTIFS($C$12:C28,C28)-1)</f>
        <v>16</v>
      </c>
      <c r="B28" s="11" t="str">
        <f>'Niklas A.'!$B$2</f>
        <v>Niklas A.</v>
      </c>
      <c r="C28" s="11">
        <f>'Niklas A.'!$G$2</f>
        <v>1</v>
      </c>
      <c r="D28" s="11">
        <f>'Niklas A.'!$J$2</f>
        <v>0</v>
      </c>
      <c r="E28" s="11">
        <f>'Niklas A.'!$L$2</f>
        <v>1</v>
      </c>
      <c r="F28" s="11" t="s">
        <v>48</v>
      </c>
      <c r="G28" s="9"/>
      <c r="H28" s="9"/>
      <c r="I28" s="9"/>
      <c r="J28" s="9"/>
      <c r="K28" s="9"/>
      <c r="L28" s="9"/>
      <c r="M28" s="9"/>
      <c r="N28" s="9"/>
    </row>
    <row r="29" spans="1:14">
      <c r="A29" s="11">
        <f>IF(C29="","",1+COUNTIF($C$12:$C$41,"&gt;"&amp;C29)+COUNTIFS($C$12:C29,C29)-1)</f>
        <v>17</v>
      </c>
      <c r="B29" s="11" t="str">
        <f>'Thomas B.'!$B$2</f>
        <v>Thomas B.</v>
      </c>
      <c r="C29" s="11">
        <f>'Thomas B.'!$G$2</f>
        <v>1</v>
      </c>
      <c r="D29" s="11">
        <f>'Thomas B.'!$J$2</f>
        <v>0</v>
      </c>
      <c r="E29" s="11">
        <f>'Thomas B.'!$L$2</f>
        <v>1</v>
      </c>
      <c r="F29" s="11" t="s">
        <v>49</v>
      </c>
      <c r="G29" s="9"/>
      <c r="H29" s="9"/>
      <c r="I29" s="9"/>
      <c r="J29" s="9"/>
      <c r="K29" s="9"/>
      <c r="L29" s="9"/>
      <c r="M29" s="9"/>
      <c r="N29" s="9"/>
    </row>
    <row r="30" spans="1:14">
      <c r="A30" s="11">
        <f>IF(C30="","",1+COUNTIF($C$12:$C$41,"&gt;"&amp;C30)+COUNTIFS($C$12:C30,C30)-1)</f>
        <v>18</v>
      </c>
      <c r="B30" s="11" t="str">
        <f>Micke!$B$2</f>
        <v>Micke</v>
      </c>
      <c r="C30" s="11">
        <f>Micke!$G$2</f>
        <v>1</v>
      </c>
      <c r="D30" s="11">
        <f>Micke!$J$2</f>
        <v>0</v>
      </c>
      <c r="E30" s="11">
        <f>Micke!$L$2</f>
        <v>1</v>
      </c>
      <c r="F30" s="11" t="s">
        <v>50</v>
      </c>
      <c r="G30" s="9"/>
      <c r="H30" s="9"/>
      <c r="I30" s="9"/>
      <c r="J30" s="9"/>
      <c r="K30" s="9"/>
      <c r="L30" s="9"/>
      <c r="M30" s="9"/>
      <c r="N30" s="9"/>
    </row>
    <row r="31" spans="1:14">
      <c r="A31" s="11">
        <f>IF(C31="","",1+COUNTIF($C$12:$C$41,"&gt;"&amp;C31)+COUNTIFS($C$12:C31,C31)-1)</f>
        <v>19</v>
      </c>
      <c r="B31" s="11" t="str">
        <f>Robin!$B$2</f>
        <v>Robin</v>
      </c>
      <c r="C31" s="11">
        <f>Robin!$G$2</f>
        <v>1</v>
      </c>
      <c r="D31" s="11">
        <f>Robin!$J$2</f>
        <v>0</v>
      </c>
      <c r="E31" s="11">
        <f>Robin!$L$2</f>
        <v>1</v>
      </c>
      <c r="F31" s="11" t="s">
        <v>51</v>
      </c>
      <c r="G31" s="9"/>
      <c r="H31" s="9"/>
      <c r="I31" s="9"/>
      <c r="J31" s="9"/>
      <c r="K31" s="9"/>
      <c r="L31" s="9"/>
      <c r="M31" s="9"/>
      <c r="N31" s="9"/>
    </row>
    <row r="32" spans="1:14">
      <c r="A32" s="11">
        <f>IF(C32="","",1+COUNTIF($C$12:$C$41,"&gt;"&amp;C32)+COUNTIFS($C$12:C32,C32)-1)</f>
        <v>21</v>
      </c>
      <c r="B32" s="11" t="str">
        <f>'Spelare 21'!$B$2</f>
        <v>Spelare 21</v>
      </c>
      <c r="C32" s="11">
        <f>'Spelare 21'!$G$2</f>
        <v>0</v>
      </c>
      <c r="D32" s="11">
        <f>'Spelare 21'!$J$2</f>
        <v>0</v>
      </c>
      <c r="E32" s="11">
        <f>'Spelare 21'!$L$2</f>
        <v>0</v>
      </c>
      <c r="F32" s="11" t="s">
        <v>52</v>
      </c>
      <c r="G32" s="9"/>
      <c r="H32" s="9"/>
      <c r="I32" s="9"/>
      <c r="J32" s="9"/>
      <c r="K32" s="9"/>
      <c r="L32" s="9"/>
      <c r="M32" s="9"/>
      <c r="N32" s="9"/>
    </row>
    <row r="33" spans="1:14">
      <c r="A33" s="11">
        <f>IF(C33="","",1+COUNTIF($C$12:$C$41,"&gt;"&amp;C33)+COUNTIFS($C$12:C33,C33)-1)</f>
        <v>22</v>
      </c>
      <c r="B33" s="11" t="str">
        <f>'Spelare 22'!$B$2</f>
        <v>Spelare 22</v>
      </c>
      <c r="C33" s="11">
        <f>'Spelare 22'!$G$2</f>
        <v>0</v>
      </c>
      <c r="D33" s="11">
        <f>'Spelare 22'!$J$2</f>
        <v>0</v>
      </c>
      <c r="E33" s="11">
        <f>'Spelare 22'!$L$2</f>
        <v>0</v>
      </c>
      <c r="F33" s="11" t="s">
        <v>53</v>
      </c>
      <c r="G33" s="9"/>
      <c r="H33" s="9"/>
      <c r="I33" s="9"/>
      <c r="J33" s="9"/>
      <c r="K33" s="9"/>
      <c r="L33" s="9"/>
      <c r="M33" s="9"/>
      <c r="N33" s="9"/>
    </row>
    <row r="34" spans="1:14">
      <c r="A34" s="11">
        <f>IF(C34="","",1+COUNTIF($C$12:$C$41,"&gt;"&amp;C34)+COUNTIFS($C$12:C34,C34)-1)</f>
        <v>23</v>
      </c>
      <c r="B34" s="11" t="str">
        <f>'Spelare 23'!$B$2</f>
        <v>Spelare 23</v>
      </c>
      <c r="C34" s="11">
        <f>'Spelare 23'!$G$2</f>
        <v>0</v>
      </c>
      <c r="D34" s="11">
        <f>'Spelare 23'!$J$2</f>
        <v>0</v>
      </c>
      <c r="E34" s="11">
        <f>'Spelare 23'!$L$2</f>
        <v>0</v>
      </c>
      <c r="F34" s="11" t="s">
        <v>54</v>
      </c>
      <c r="G34" s="9"/>
      <c r="H34" s="9"/>
      <c r="I34" s="9"/>
      <c r="J34" s="9"/>
      <c r="K34" s="9"/>
      <c r="L34" s="9"/>
      <c r="M34" s="9"/>
      <c r="N34" s="9"/>
    </row>
    <row r="35" spans="1:14">
      <c r="A35" s="11">
        <f>IF(C35="","",1+COUNTIF($C$12:$C$41,"&gt;"&amp;C35)+COUNTIFS($C$12:C35,C35)-1)</f>
        <v>24</v>
      </c>
      <c r="B35" s="11" t="str">
        <f>'Spelare 24'!$B$2</f>
        <v>Spelare 24</v>
      </c>
      <c r="C35" s="11">
        <f>'Spelare 24'!$G$2</f>
        <v>0</v>
      </c>
      <c r="D35" s="11">
        <f>'Spelare 24'!$J$2</f>
        <v>0</v>
      </c>
      <c r="E35" s="11">
        <f>'Spelare 24'!$L$2</f>
        <v>0</v>
      </c>
      <c r="F35" s="11" t="s">
        <v>55</v>
      </c>
      <c r="G35" s="9"/>
      <c r="H35" s="9"/>
      <c r="I35" s="9"/>
      <c r="J35" s="9"/>
      <c r="K35" s="9"/>
      <c r="L35" s="9"/>
      <c r="M35" s="9"/>
      <c r="N35" s="9"/>
    </row>
    <row r="36" spans="1:14">
      <c r="A36" s="11">
        <f>IF(C36="","",1+COUNTIF($C$12:$C$41,"&gt;"&amp;C36)+COUNTIFS($C$12:C36,C36)-1)</f>
        <v>25</v>
      </c>
      <c r="B36" s="11" t="str">
        <f>'Spelare 25'!$B$2</f>
        <v>Spelare 25</v>
      </c>
      <c r="C36" s="11">
        <f>'Spelare 25'!$G$2</f>
        <v>0</v>
      </c>
      <c r="D36" s="11">
        <f>'Spelare 25'!$J$2</f>
        <v>0</v>
      </c>
      <c r="E36" s="11">
        <f>'Spelare 25'!$L$2</f>
        <v>0</v>
      </c>
      <c r="F36" s="11" t="s">
        <v>56</v>
      </c>
      <c r="G36" s="9"/>
      <c r="H36" s="9"/>
      <c r="I36" s="9"/>
      <c r="J36" s="9"/>
      <c r="K36" s="9"/>
      <c r="L36" s="9"/>
      <c r="M36" s="9"/>
      <c r="N36" s="9"/>
    </row>
    <row r="37" spans="1:14">
      <c r="A37" s="11">
        <f>IF(C37="","",1+COUNTIF($C$12:$C$41,"&gt;"&amp;C37)+COUNTIFS($C$12:C37,C37)-1)</f>
        <v>26</v>
      </c>
      <c r="B37" s="11" t="str">
        <f>'Spelare 26'!$B$2</f>
        <v>Spelare 26</v>
      </c>
      <c r="C37" s="11">
        <f>'Spelare 26'!$G$2</f>
        <v>0</v>
      </c>
      <c r="D37" s="11">
        <f>'Spelare 26'!$J$2</f>
        <v>0</v>
      </c>
      <c r="E37" s="11">
        <f>'Spelare 26'!$L$2</f>
        <v>0</v>
      </c>
      <c r="F37" s="11" t="s">
        <v>57</v>
      </c>
      <c r="G37" s="9"/>
      <c r="H37" s="9"/>
      <c r="I37" s="9"/>
      <c r="J37" s="9"/>
      <c r="K37" s="9"/>
      <c r="L37" s="9"/>
      <c r="M37" s="9"/>
      <c r="N37" s="9"/>
    </row>
    <row r="38" spans="1:14">
      <c r="A38" s="11">
        <f>IF(C38="","",1+COUNTIF($C$12:$C$41,"&gt;"&amp;C38)+COUNTIFS($C$12:C38,C38)-1)</f>
        <v>27</v>
      </c>
      <c r="B38" s="11" t="str">
        <f>'Spelare 27'!$B$2</f>
        <v>Spelare 27</v>
      </c>
      <c r="C38" s="11">
        <f>'Spelare 27'!$G$2</f>
        <v>0</v>
      </c>
      <c r="D38" s="11">
        <f>'Spelare 27'!$J$2</f>
        <v>0</v>
      </c>
      <c r="E38" s="11">
        <f>'Spelare 27'!$L$2</f>
        <v>0</v>
      </c>
      <c r="F38" s="11" t="s">
        <v>58</v>
      </c>
      <c r="G38" s="9"/>
      <c r="H38" s="9"/>
      <c r="I38" s="9"/>
      <c r="J38" s="9"/>
      <c r="K38" s="9"/>
      <c r="L38" s="9"/>
      <c r="M38" s="9"/>
      <c r="N38" s="9"/>
    </row>
    <row r="39" spans="1:14">
      <c r="A39" s="11">
        <f>IF(C39="","",1+COUNTIF($C$12:$C$41,"&gt;"&amp;C39)+COUNTIFS($C$12:C39,C39)-1)</f>
        <v>28</v>
      </c>
      <c r="B39" s="11" t="str">
        <f>'Spelare 28'!$B$2</f>
        <v>Spelare 28</v>
      </c>
      <c r="C39" s="11">
        <f>'Spelare 28'!$G$2</f>
        <v>0</v>
      </c>
      <c r="D39" s="11">
        <f>'Spelare 28'!$J$2</f>
        <v>0</v>
      </c>
      <c r="E39" s="11">
        <f>'Spelare 28'!$L$2</f>
        <v>0</v>
      </c>
      <c r="F39" s="11" t="s">
        <v>59</v>
      </c>
      <c r="G39" s="9"/>
      <c r="H39" s="9"/>
      <c r="I39" s="9"/>
      <c r="J39" s="9"/>
      <c r="K39" s="9"/>
      <c r="L39" s="9"/>
      <c r="M39" s="9"/>
      <c r="N39" s="9"/>
    </row>
    <row r="40" spans="1:14">
      <c r="A40" s="11">
        <f>IF(C40="","",1+COUNTIF($C$12:$C$41,"&gt;"&amp;C40)+COUNTIFS($C$12:C40,C40)-1)</f>
        <v>29</v>
      </c>
      <c r="B40" s="11" t="str">
        <f>'Spelare 29'!$B$2</f>
        <v>Spelare 29</v>
      </c>
      <c r="C40" s="11">
        <f>'Spelare 29'!$G$2</f>
        <v>0</v>
      </c>
      <c r="D40" s="11">
        <f>'Spelare 29'!$J$2</f>
        <v>0</v>
      </c>
      <c r="E40" s="11">
        <f>'Spelare 29'!$L$2</f>
        <v>0</v>
      </c>
      <c r="F40" s="11" t="s">
        <v>60</v>
      </c>
      <c r="G40" s="9"/>
      <c r="H40" s="9"/>
      <c r="I40" s="9"/>
      <c r="J40" s="9"/>
      <c r="K40" s="9"/>
      <c r="L40" s="9"/>
      <c r="M40" s="9"/>
      <c r="N40" s="9"/>
    </row>
    <row r="41" spans="1:14">
      <c r="A41" s="11">
        <f>IF(C41="","",1+COUNTIF($C$12:$C$41,"&gt;"&amp;C41)+COUNTIFS($C$12:C41,C41)-1)</f>
        <v>30</v>
      </c>
      <c r="B41" s="11" t="str">
        <f>'Spelare 30'!$B$2</f>
        <v>Spelare 30</v>
      </c>
      <c r="C41" s="11">
        <f>'Spelare 30'!$G$2</f>
        <v>0</v>
      </c>
      <c r="D41" s="11">
        <f>'Spelare 30'!$J$2</f>
        <v>0</v>
      </c>
      <c r="E41" s="11">
        <f>'Spelare 30'!$L$2</f>
        <v>0</v>
      </c>
      <c r="F41" s="11" t="s">
        <v>61</v>
      </c>
      <c r="G41" s="9"/>
      <c r="H41" s="9"/>
      <c r="I41" s="9"/>
      <c r="J41" s="9"/>
      <c r="K41" s="9"/>
      <c r="L41" s="9"/>
      <c r="M41" s="9"/>
      <c r="N41" s="9"/>
    </row>
    <row r="42" spans="1:1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</sheetData>
  <sheetProtection algorithmName="SHA-512" hashValue="xBD6P1jBw7JjNetedFbZUNbmY/zLz5zLl4U8PxbYt68tvoX/GnVntYUSlq6EgNGP2qEgolJxc4QBYx4l0Myj+w==" saltValue="kgP5zvGzYPa02zzolPfxsQ==" spinCount="100000" sheet="1" objects="1" scenarios="1"/>
  <mergeCells count="3">
    <mergeCell ref="A1:N1"/>
    <mergeCell ref="H3:L3"/>
    <mergeCell ref="H17:N17"/>
  </mergeCells>
  <conditionalFormatting sqref="A12:F41">
    <cfRule type="expression" dxfId="65" priority="2">
      <formula>$A12&lt;=10</formula>
    </cfRule>
  </conditionalFormatting>
  <conditionalFormatting sqref="C12:C41">
    <cfRule type="dataBar" priority="1">
      <dataBar>
        <cfvo type="min"/>
        <cfvo type="max"/>
        <color rgb="FF16A34A"/>
      </dataBar>
    </cfRule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{9DE1C18E-BE07-6630-1838-35BDE1E6DFA9}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E1C18E-BE07-6630-1838-35BDE1E6DFA9}">
            <x14:dataBar>
              <x14:cfvo type="min"/>
              <x14:cfvo type="max"/>
              <x14:negativeFillColor auto="1"/>
              <x14:axisColor auto="1"/>
            </x14:dataBar>
          </x14:cfRule>
          <xm:sqref>C12:C41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34DB-E142-491F-AD40-4433CC1A4E4C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F1ED-5EB2-4C2F-99AF-6769A65BB1B8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"/>
  <sheetViews>
    <sheetView tabSelected="1" workbookViewId="0">
      <selection activeCell="K3" sqref="K3"/>
    </sheetView>
  </sheetViews>
  <sheetFormatPr defaultRowHeight="14.25"/>
  <cols>
    <col min="1" max="1" width="6" customWidth="1"/>
    <col min="2" max="2" width="15" customWidth="1"/>
    <col min="3" max="3" width="8" customWidth="1"/>
    <col min="4" max="7" width="13" customWidth="1"/>
    <col min="8" max="9" width="24" customWidth="1"/>
    <col min="10" max="10" width="34" customWidth="1"/>
    <col min="11" max="13" width="12" customWidth="1"/>
    <col min="14" max="14" width="28" customWidth="1"/>
  </cols>
  <sheetData>
    <row r="1" spans="1:14" ht="30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</row>
    <row r="2" spans="1:14" ht="84">
      <c r="A2" s="11">
        <v>1</v>
      </c>
      <c r="B2" s="11" t="s">
        <v>76</v>
      </c>
      <c r="C2" s="11" t="s">
        <v>77</v>
      </c>
      <c r="D2" s="12">
        <v>46184.875</v>
      </c>
      <c r="E2" s="11" t="s">
        <v>78</v>
      </c>
      <c r="F2" s="12">
        <v>46184.625</v>
      </c>
      <c r="G2" s="11" t="s">
        <v>79</v>
      </c>
      <c r="H2" s="11" t="s">
        <v>80</v>
      </c>
      <c r="I2" s="11" t="s">
        <v>81</v>
      </c>
      <c r="J2" s="11" t="s">
        <v>82</v>
      </c>
      <c r="K2" s="13">
        <v>2</v>
      </c>
      <c r="L2" s="13">
        <v>0</v>
      </c>
      <c r="M2" s="14" t="str">
        <f t="shared" ref="M2:M33" si="0">IF(OR(K2="",L2=""),"",IF(K2&gt;L2,"1",IF(K2=L2,"X","2")))</f>
        <v>1</v>
      </c>
      <c r="N2" s="11" t="s">
        <v>83</v>
      </c>
    </row>
    <row r="3" spans="1:14" ht="71.25">
      <c r="A3" s="11">
        <v>2</v>
      </c>
      <c r="B3" s="11" t="s">
        <v>76</v>
      </c>
      <c r="C3" s="11" t="s">
        <v>77</v>
      </c>
      <c r="D3" s="12">
        <v>46185.166666666664</v>
      </c>
      <c r="E3" s="11" t="s">
        <v>84</v>
      </c>
      <c r="F3" s="12">
        <v>46184.916666666664</v>
      </c>
      <c r="G3" s="11" t="s">
        <v>85</v>
      </c>
      <c r="H3" s="11" t="s">
        <v>86</v>
      </c>
      <c r="I3" s="11" t="s">
        <v>87</v>
      </c>
      <c r="J3" s="11" t="s">
        <v>88</v>
      </c>
      <c r="K3" s="13"/>
      <c r="L3" s="13"/>
      <c r="M3" s="14" t="str">
        <f t="shared" si="0"/>
        <v/>
      </c>
      <c r="N3" s="11" t="s">
        <v>83</v>
      </c>
    </row>
    <row r="4" spans="1:14" ht="71.25">
      <c r="A4" s="11">
        <v>3</v>
      </c>
      <c r="B4" s="11" t="s">
        <v>76</v>
      </c>
      <c r="C4" s="11" t="s">
        <v>89</v>
      </c>
      <c r="D4" s="12">
        <v>46185.875</v>
      </c>
      <c r="E4" s="11" t="s">
        <v>78</v>
      </c>
      <c r="F4" s="12">
        <v>46185.625</v>
      </c>
      <c r="G4" s="11" t="s">
        <v>79</v>
      </c>
      <c r="H4" s="11" t="s">
        <v>90</v>
      </c>
      <c r="I4" s="11" t="s">
        <v>91</v>
      </c>
      <c r="J4" s="11" t="s">
        <v>92</v>
      </c>
      <c r="K4" s="13"/>
      <c r="L4" s="13"/>
      <c r="M4" s="14" t="str">
        <f t="shared" si="0"/>
        <v/>
      </c>
      <c r="N4" s="11" t="s">
        <v>83</v>
      </c>
    </row>
    <row r="5" spans="1:14" ht="71.25">
      <c r="A5" s="11">
        <v>4</v>
      </c>
      <c r="B5" s="11" t="s">
        <v>76</v>
      </c>
      <c r="C5" s="11" t="s">
        <v>93</v>
      </c>
      <c r="D5" s="12">
        <v>46186.125</v>
      </c>
      <c r="E5" s="11" t="s">
        <v>94</v>
      </c>
      <c r="F5" s="12">
        <v>46185.875</v>
      </c>
      <c r="G5" s="11" t="s">
        <v>78</v>
      </c>
      <c r="H5" s="11" t="s">
        <v>95</v>
      </c>
      <c r="I5" s="11" t="s">
        <v>96</v>
      </c>
      <c r="J5" s="11" t="s">
        <v>97</v>
      </c>
      <c r="K5" s="13"/>
      <c r="L5" s="13"/>
      <c r="M5" s="14" t="str">
        <f t="shared" si="0"/>
        <v/>
      </c>
      <c r="N5" s="11" t="s">
        <v>83</v>
      </c>
    </row>
    <row r="6" spans="1:14" ht="71.25">
      <c r="A6" s="11">
        <v>5</v>
      </c>
      <c r="B6" s="11" t="s">
        <v>76</v>
      </c>
      <c r="C6" s="11" t="s">
        <v>89</v>
      </c>
      <c r="D6" s="12">
        <v>46186.875</v>
      </c>
      <c r="E6" s="11" t="s">
        <v>78</v>
      </c>
      <c r="F6" s="12">
        <v>46186.625</v>
      </c>
      <c r="G6" s="11" t="s">
        <v>79</v>
      </c>
      <c r="H6" s="11" t="s">
        <v>98</v>
      </c>
      <c r="I6" s="11" t="s">
        <v>99</v>
      </c>
      <c r="J6" s="11" t="s">
        <v>100</v>
      </c>
      <c r="K6" s="13"/>
      <c r="L6" s="13"/>
      <c r="M6" s="14" t="str">
        <f t="shared" si="0"/>
        <v/>
      </c>
      <c r="N6" s="11" t="s">
        <v>83</v>
      </c>
    </row>
    <row r="7" spans="1:14" ht="71.25">
      <c r="A7" s="11">
        <v>6</v>
      </c>
      <c r="B7" s="11" t="s">
        <v>76</v>
      </c>
      <c r="C7" s="11" t="s">
        <v>101</v>
      </c>
      <c r="D7" s="12">
        <v>46187</v>
      </c>
      <c r="E7" s="11" t="s">
        <v>102</v>
      </c>
      <c r="F7" s="12">
        <v>46186.75</v>
      </c>
      <c r="G7" s="11" t="s">
        <v>103</v>
      </c>
      <c r="H7" s="11" t="s">
        <v>104</v>
      </c>
      <c r="I7" s="11" t="s">
        <v>105</v>
      </c>
      <c r="J7" s="11" t="s">
        <v>106</v>
      </c>
      <c r="K7" s="13"/>
      <c r="L7" s="13"/>
      <c r="M7" s="14" t="str">
        <f t="shared" si="0"/>
        <v/>
      </c>
      <c r="N7" s="11" t="s">
        <v>83</v>
      </c>
    </row>
    <row r="8" spans="1:14" ht="71.25">
      <c r="A8" s="11">
        <v>7</v>
      </c>
      <c r="B8" s="11" t="s">
        <v>76</v>
      </c>
      <c r="C8" s="11" t="s">
        <v>101</v>
      </c>
      <c r="D8" s="12">
        <v>46187.125</v>
      </c>
      <c r="E8" s="11" t="s">
        <v>94</v>
      </c>
      <c r="F8" s="12">
        <v>46186.875</v>
      </c>
      <c r="G8" s="11" t="s">
        <v>78</v>
      </c>
      <c r="H8" s="11" t="s">
        <v>107</v>
      </c>
      <c r="I8" s="11" t="s">
        <v>108</v>
      </c>
      <c r="J8" s="11" t="s">
        <v>109</v>
      </c>
      <c r="K8" s="13"/>
      <c r="L8" s="13"/>
      <c r="M8" s="14" t="str">
        <f t="shared" si="0"/>
        <v/>
      </c>
      <c r="N8" s="11" t="s">
        <v>83</v>
      </c>
    </row>
    <row r="9" spans="1:14" ht="71.25">
      <c r="A9" s="11">
        <v>8</v>
      </c>
      <c r="B9" s="11" t="s">
        <v>76</v>
      </c>
      <c r="C9" s="11" t="s">
        <v>93</v>
      </c>
      <c r="D9" s="12">
        <v>46187.25</v>
      </c>
      <c r="E9" s="11" t="s">
        <v>110</v>
      </c>
      <c r="F9" s="12">
        <v>46187</v>
      </c>
      <c r="G9" s="11" t="s">
        <v>102</v>
      </c>
      <c r="H9" s="11" t="s">
        <v>111</v>
      </c>
      <c r="I9" s="11" t="s">
        <v>112</v>
      </c>
      <c r="J9" s="11" t="s">
        <v>113</v>
      </c>
      <c r="K9" s="13"/>
      <c r="L9" s="13"/>
      <c r="M9" s="14" t="str">
        <f t="shared" si="0"/>
        <v/>
      </c>
      <c r="N9" s="11" t="s">
        <v>83</v>
      </c>
    </row>
    <row r="10" spans="1:14" ht="71.25">
      <c r="A10" s="11">
        <v>9</v>
      </c>
      <c r="B10" s="11" t="s">
        <v>76</v>
      </c>
      <c r="C10" s="11" t="s">
        <v>114</v>
      </c>
      <c r="D10" s="12">
        <v>46187.791666666664</v>
      </c>
      <c r="E10" s="11" t="s">
        <v>115</v>
      </c>
      <c r="F10" s="12">
        <v>46187.541666666664</v>
      </c>
      <c r="G10" s="11" t="s">
        <v>116</v>
      </c>
      <c r="H10" s="11" t="s">
        <v>117</v>
      </c>
      <c r="I10" s="11" t="s">
        <v>118</v>
      </c>
      <c r="J10" s="11" t="s">
        <v>119</v>
      </c>
      <c r="K10" s="13"/>
      <c r="L10" s="13"/>
      <c r="M10" s="14" t="str">
        <f t="shared" si="0"/>
        <v/>
      </c>
      <c r="N10" s="11" t="s">
        <v>83</v>
      </c>
    </row>
    <row r="11" spans="1:14" ht="71.25">
      <c r="A11" s="11">
        <v>10</v>
      </c>
      <c r="B11" s="11" t="s">
        <v>76</v>
      </c>
      <c r="C11" s="11" t="s">
        <v>120</v>
      </c>
      <c r="D11" s="12">
        <v>46187.916666666664</v>
      </c>
      <c r="E11" s="11" t="s">
        <v>85</v>
      </c>
      <c r="F11" s="12">
        <v>46187.666666666664</v>
      </c>
      <c r="G11" s="11" t="s">
        <v>121</v>
      </c>
      <c r="H11" s="11" t="s">
        <v>122</v>
      </c>
      <c r="I11" s="11" t="s">
        <v>123</v>
      </c>
      <c r="J11" s="11" t="s">
        <v>124</v>
      </c>
      <c r="K11" s="13"/>
      <c r="L11" s="13"/>
      <c r="M11" s="14" t="str">
        <f t="shared" si="0"/>
        <v/>
      </c>
      <c r="N11" s="11" t="s">
        <v>83</v>
      </c>
    </row>
    <row r="12" spans="1:14" ht="71.25">
      <c r="A12" s="11">
        <v>11</v>
      </c>
      <c r="B12" s="11" t="s">
        <v>76</v>
      </c>
      <c r="C12" s="11" t="s">
        <v>114</v>
      </c>
      <c r="D12" s="12">
        <v>46188.041666666664</v>
      </c>
      <c r="E12" s="11" t="s">
        <v>125</v>
      </c>
      <c r="F12" s="12">
        <v>46187.791666666664</v>
      </c>
      <c r="G12" s="11" t="s">
        <v>115</v>
      </c>
      <c r="H12" s="11" t="s">
        <v>126</v>
      </c>
      <c r="I12" s="11" t="s">
        <v>127</v>
      </c>
      <c r="J12" s="11" t="s">
        <v>128</v>
      </c>
      <c r="K12" s="13"/>
      <c r="L12" s="13"/>
      <c r="M12" s="14" t="str">
        <f t="shared" si="0"/>
        <v/>
      </c>
      <c r="N12" s="11" t="s">
        <v>83</v>
      </c>
    </row>
    <row r="13" spans="1:14" ht="71.25">
      <c r="A13" s="11">
        <v>12</v>
      </c>
      <c r="B13" s="11" t="s">
        <v>76</v>
      </c>
      <c r="C13" s="11" t="s">
        <v>120</v>
      </c>
      <c r="D13" s="12">
        <v>46188.166666666664</v>
      </c>
      <c r="E13" s="11" t="s">
        <v>84</v>
      </c>
      <c r="F13" s="12">
        <v>46187.916666666664</v>
      </c>
      <c r="G13" s="11" t="s">
        <v>85</v>
      </c>
      <c r="H13" s="11" t="s">
        <v>129</v>
      </c>
      <c r="I13" s="11" t="s">
        <v>130</v>
      </c>
      <c r="J13" s="11" t="s">
        <v>131</v>
      </c>
      <c r="K13" s="13"/>
      <c r="L13" s="13"/>
      <c r="M13" s="14" t="str">
        <f t="shared" si="0"/>
        <v/>
      </c>
      <c r="N13" s="11" t="s">
        <v>83</v>
      </c>
    </row>
    <row r="14" spans="1:14" ht="71.25">
      <c r="A14" s="11">
        <v>13</v>
      </c>
      <c r="B14" s="11" t="s">
        <v>76</v>
      </c>
      <c r="C14" s="11" t="s">
        <v>132</v>
      </c>
      <c r="D14" s="12">
        <v>46188.75</v>
      </c>
      <c r="E14" s="11" t="s">
        <v>103</v>
      </c>
      <c r="F14" s="12">
        <v>46188.5</v>
      </c>
      <c r="G14" s="11" t="s">
        <v>133</v>
      </c>
      <c r="H14" s="11" t="s">
        <v>134</v>
      </c>
      <c r="I14" s="11" t="s">
        <v>135</v>
      </c>
      <c r="J14" s="11" t="s">
        <v>136</v>
      </c>
      <c r="K14" s="13"/>
      <c r="L14" s="13"/>
      <c r="M14" s="14" t="str">
        <f t="shared" si="0"/>
        <v/>
      </c>
      <c r="N14" s="11" t="s">
        <v>83</v>
      </c>
    </row>
    <row r="15" spans="1:14" ht="71.25">
      <c r="A15" s="11">
        <v>14</v>
      </c>
      <c r="B15" s="11" t="s">
        <v>76</v>
      </c>
      <c r="C15" s="11" t="s">
        <v>137</v>
      </c>
      <c r="D15" s="12">
        <v>46188.875</v>
      </c>
      <c r="E15" s="11" t="s">
        <v>78</v>
      </c>
      <c r="F15" s="12">
        <v>46188.625</v>
      </c>
      <c r="G15" s="11" t="s">
        <v>79</v>
      </c>
      <c r="H15" s="11" t="s">
        <v>138</v>
      </c>
      <c r="I15" s="11" t="s">
        <v>139</v>
      </c>
      <c r="J15" s="11" t="s">
        <v>140</v>
      </c>
      <c r="K15" s="13"/>
      <c r="L15" s="13"/>
      <c r="M15" s="14" t="str">
        <f t="shared" si="0"/>
        <v/>
      </c>
      <c r="N15" s="11" t="s">
        <v>83</v>
      </c>
    </row>
    <row r="16" spans="1:14" ht="71.25">
      <c r="A16" s="11">
        <v>15</v>
      </c>
      <c r="B16" s="11" t="s">
        <v>76</v>
      </c>
      <c r="C16" s="11" t="s">
        <v>132</v>
      </c>
      <c r="D16" s="12">
        <v>46189</v>
      </c>
      <c r="E16" s="11" t="s">
        <v>102</v>
      </c>
      <c r="F16" s="12">
        <v>46188.75</v>
      </c>
      <c r="G16" s="11" t="s">
        <v>103</v>
      </c>
      <c r="H16" s="11" t="s">
        <v>141</v>
      </c>
      <c r="I16" s="11" t="s">
        <v>142</v>
      </c>
      <c r="J16" s="11" t="s">
        <v>143</v>
      </c>
      <c r="K16" s="13"/>
      <c r="L16" s="13"/>
      <c r="M16" s="14" t="str">
        <f t="shared" si="0"/>
        <v/>
      </c>
      <c r="N16" s="11" t="s">
        <v>83</v>
      </c>
    </row>
    <row r="17" spans="1:14" ht="71.25">
      <c r="A17" s="11">
        <v>16</v>
      </c>
      <c r="B17" s="11" t="s">
        <v>76</v>
      </c>
      <c r="C17" s="11" t="s">
        <v>137</v>
      </c>
      <c r="D17" s="12">
        <v>46189.125</v>
      </c>
      <c r="E17" s="11" t="s">
        <v>94</v>
      </c>
      <c r="F17" s="12">
        <v>46188.875</v>
      </c>
      <c r="G17" s="11" t="s">
        <v>78</v>
      </c>
      <c r="H17" s="11" t="s">
        <v>144</v>
      </c>
      <c r="I17" s="11" t="s">
        <v>145</v>
      </c>
      <c r="J17" s="11" t="s">
        <v>97</v>
      </c>
      <c r="K17" s="13"/>
      <c r="L17" s="13"/>
      <c r="M17" s="14" t="str">
        <f t="shared" si="0"/>
        <v/>
      </c>
      <c r="N17" s="11" t="s">
        <v>83</v>
      </c>
    </row>
    <row r="18" spans="1:14" ht="71.25">
      <c r="A18" s="11">
        <v>17</v>
      </c>
      <c r="B18" s="11" t="s">
        <v>76</v>
      </c>
      <c r="C18" s="11" t="s">
        <v>146</v>
      </c>
      <c r="D18" s="12">
        <v>46189.875</v>
      </c>
      <c r="E18" s="11" t="s">
        <v>78</v>
      </c>
      <c r="F18" s="12">
        <v>46189.625</v>
      </c>
      <c r="G18" s="11" t="s">
        <v>79</v>
      </c>
      <c r="H18" s="11" t="s">
        <v>147</v>
      </c>
      <c r="I18" s="11" t="s">
        <v>148</v>
      </c>
      <c r="J18" s="11" t="s">
        <v>106</v>
      </c>
      <c r="K18" s="13"/>
      <c r="L18" s="13"/>
      <c r="M18" s="14" t="str">
        <f t="shared" si="0"/>
        <v/>
      </c>
      <c r="N18" s="11" t="s">
        <v>83</v>
      </c>
    </row>
    <row r="19" spans="1:14" ht="71.25">
      <c r="A19" s="11">
        <v>18</v>
      </c>
      <c r="B19" s="11" t="s">
        <v>76</v>
      </c>
      <c r="C19" s="11" t="s">
        <v>146</v>
      </c>
      <c r="D19" s="12">
        <v>46190</v>
      </c>
      <c r="E19" s="11" t="s">
        <v>102</v>
      </c>
      <c r="F19" s="12">
        <v>46189.75</v>
      </c>
      <c r="G19" s="11" t="s">
        <v>103</v>
      </c>
      <c r="H19" s="11" t="s">
        <v>149</v>
      </c>
      <c r="I19" s="11" t="s">
        <v>150</v>
      </c>
      <c r="J19" s="11" t="s">
        <v>109</v>
      </c>
      <c r="K19" s="13"/>
      <c r="L19" s="13"/>
      <c r="M19" s="14" t="str">
        <f t="shared" si="0"/>
        <v/>
      </c>
      <c r="N19" s="11" t="s">
        <v>83</v>
      </c>
    </row>
    <row r="20" spans="1:14" ht="71.25">
      <c r="A20" s="11">
        <v>19</v>
      </c>
      <c r="B20" s="11" t="s">
        <v>76</v>
      </c>
      <c r="C20" s="11" t="s">
        <v>151</v>
      </c>
      <c r="D20" s="12">
        <v>46190.125</v>
      </c>
      <c r="E20" s="11" t="s">
        <v>94</v>
      </c>
      <c r="F20" s="12">
        <v>46189.875</v>
      </c>
      <c r="G20" s="11" t="s">
        <v>78</v>
      </c>
      <c r="H20" s="11" t="s">
        <v>152</v>
      </c>
      <c r="I20" s="11" t="s">
        <v>153</v>
      </c>
      <c r="J20" s="11" t="s">
        <v>154</v>
      </c>
      <c r="K20" s="13"/>
      <c r="L20" s="13"/>
      <c r="M20" s="14" t="str">
        <f t="shared" si="0"/>
        <v/>
      </c>
      <c r="N20" s="11" t="s">
        <v>83</v>
      </c>
    </row>
    <row r="21" spans="1:14" ht="71.25">
      <c r="A21" s="11">
        <v>20</v>
      </c>
      <c r="B21" s="11" t="s">
        <v>76</v>
      </c>
      <c r="C21" s="11" t="s">
        <v>151</v>
      </c>
      <c r="D21" s="12">
        <v>46190.25</v>
      </c>
      <c r="E21" s="11" t="s">
        <v>110</v>
      </c>
      <c r="F21" s="12">
        <v>46190</v>
      </c>
      <c r="G21" s="11" t="s">
        <v>102</v>
      </c>
      <c r="H21" s="11" t="s">
        <v>155</v>
      </c>
      <c r="I21" s="11" t="s">
        <v>156</v>
      </c>
      <c r="J21" s="11" t="s">
        <v>100</v>
      </c>
      <c r="K21" s="13"/>
      <c r="L21" s="13"/>
      <c r="M21" s="14" t="str">
        <f t="shared" si="0"/>
        <v/>
      </c>
      <c r="N21" s="11" t="s">
        <v>83</v>
      </c>
    </row>
    <row r="22" spans="1:14" ht="71.25">
      <c r="A22" s="11">
        <v>21</v>
      </c>
      <c r="B22" s="11" t="s">
        <v>76</v>
      </c>
      <c r="C22" s="11" t="s">
        <v>157</v>
      </c>
      <c r="D22" s="12">
        <v>46190.791666666664</v>
      </c>
      <c r="E22" s="11" t="s">
        <v>115</v>
      </c>
      <c r="F22" s="12">
        <v>46190.541666666664</v>
      </c>
      <c r="G22" s="11" t="s">
        <v>116</v>
      </c>
      <c r="H22" s="11" t="s">
        <v>158</v>
      </c>
      <c r="I22" s="11" t="s">
        <v>159</v>
      </c>
      <c r="J22" s="11" t="s">
        <v>119</v>
      </c>
      <c r="K22" s="13"/>
      <c r="L22" s="13"/>
      <c r="M22" s="14" t="str">
        <f t="shared" si="0"/>
        <v/>
      </c>
      <c r="N22" s="11" t="s">
        <v>83</v>
      </c>
    </row>
    <row r="23" spans="1:14" ht="71.25">
      <c r="A23" s="11">
        <v>22</v>
      </c>
      <c r="B23" s="11" t="s">
        <v>76</v>
      </c>
      <c r="C23" s="11" t="s">
        <v>160</v>
      </c>
      <c r="D23" s="12">
        <v>46190.916666666664</v>
      </c>
      <c r="E23" s="11" t="s">
        <v>85</v>
      </c>
      <c r="F23" s="12">
        <v>46190.666666666664</v>
      </c>
      <c r="G23" s="11" t="s">
        <v>121</v>
      </c>
      <c r="H23" s="11" t="s">
        <v>161</v>
      </c>
      <c r="I23" s="11" t="s">
        <v>162</v>
      </c>
      <c r="J23" s="11" t="s">
        <v>124</v>
      </c>
      <c r="K23" s="13"/>
      <c r="L23" s="13"/>
      <c r="M23" s="14" t="str">
        <f t="shared" si="0"/>
        <v/>
      </c>
      <c r="N23" s="11" t="s">
        <v>83</v>
      </c>
    </row>
    <row r="24" spans="1:14" ht="71.25">
      <c r="A24" s="11">
        <v>23</v>
      </c>
      <c r="B24" s="11" t="s">
        <v>76</v>
      </c>
      <c r="C24" s="11" t="s">
        <v>160</v>
      </c>
      <c r="D24" s="12">
        <v>46191.041666666664</v>
      </c>
      <c r="E24" s="11" t="s">
        <v>125</v>
      </c>
      <c r="F24" s="12">
        <v>46190.791666666664</v>
      </c>
      <c r="G24" s="11" t="s">
        <v>115</v>
      </c>
      <c r="H24" s="11" t="s">
        <v>163</v>
      </c>
      <c r="I24" s="11" t="s">
        <v>164</v>
      </c>
      <c r="J24" s="11" t="s">
        <v>92</v>
      </c>
      <c r="K24" s="13"/>
      <c r="L24" s="13"/>
      <c r="M24" s="14" t="str">
        <f t="shared" si="0"/>
        <v/>
      </c>
      <c r="N24" s="11" t="s">
        <v>83</v>
      </c>
    </row>
    <row r="25" spans="1:14" ht="71.25">
      <c r="A25" s="11">
        <v>24</v>
      </c>
      <c r="B25" s="11" t="s">
        <v>76</v>
      </c>
      <c r="C25" s="11" t="s">
        <v>157</v>
      </c>
      <c r="D25" s="12">
        <v>46191.166666666664</v>
      </c>
      <c r="E25" s="11" t="s">
        <v>84</v>
      </c>
      <c r="F25" s="12">
        <v>46190.916666666664</v>
      </c>
      <c r="G25" s="11" t="s">
        <v>85</v>
      </c>
      <c r="H25" s="11" t="s">
        <v>165</v>
      </c>
      <c r="I25" s="11" t="s">
        <v>166</v>
      </c>
      <c r="J25" s="11" t="s">
        <v>82</v>
      </c>
      <c r="K25" s="13"/>
      <c r="L25" s="13"/>
      <c r="M25" s="14" t="str">
        <f t="shared" si="0"/>
        <v/>
      </c>
      <c r="N25" s="11" t="s">
        <v>83</v>
      </c>
    </row>
    <row r="26" spans="1:14" ht="71.25">
      <c r="A26" s="11">
        <v>25</v>
      </c>
      <c r="B26" s="11" t="s">
        <v>76</v>
      </c>
      <c r="C26" s="11" t="s">
        <v>77</v>
      </c>
      <c r="D26" s="12">
        <v>46191.75</v>
      </c>
      <c r="E26" s="11" t="s">
        <v>103</v>
      </c>
      <c r="F26" s="12">
        <v>46191.5</v>
      </c>
      <c r="G26" s="11" t="s">
        <v>133</v>
      </c>
      <c r="H26" s="11" t="s">
        <v>87</v>
      </c>
      <c r="I26" s="11" t="s">
        <v>81</v>
      </c>
      <c r="J26" s="11" t="s">
        <v>136</v>
      </c>
      <c r="K26" s="13"/>
      <c r="L26" s="13"/>
      <c r="M26" s="14" t="str">
        <f t="shared" si="0"/>
        <v/>
      </c>
      <c r="N26" s="11" t="s">
        <v>83</v>
      </c>
    </row>
    <row r="27" spans="1:14" ht="71.25">
      <c r="A27" s="11">
        <v>26</v>
      </c>
      <c r="B27" s="11" t="s">
        <v>76</v>
      </c>
      <c r="C27" s="11" t="s">
        <v>89</v>
      </c>
      <c r="D27" s="12">
        <v>46191.875</v>
      </c>
      <c r="E27" s="11" t="s">
        <v>78</v>
      </c>
      <c r="F27" s="12">
        <v>46191.625</v>
      </c>
      <c r="G27" s="11" t="s">
        <v>79</v>
      </c>
      <c r="H27" s="11" t="s">
        <v>99</v>
      </c>
      <c r="I27" s="11" t="s">
        <v>91</v>
      </c>
      <c r="J27" s="11" t="s">
        <v>97</v>
      </c>
      <c r="K27" s="13"/>
      <c r="L27" s="13"/>
      <c r="M27" s="14" t="str">
        <f t="shared" si="0"/>
        <v/>
      </c>
      <c r="N27" s="11" t="s">
        <v>83</v>
      </c>
    </row>
    <row r="28" spans="1:14" ht="71.25">
      <c r="A28" s="11">
        <v>27</v>
      </c>
      <c r="B28" s="11" t="s">
        <v>76</v>
      </c>
      <c r="C28" s="11" t="s">
        <v>89</v>
      </c>
      <c r="D28" s="12">
        <v>46192</v>
      </c>
      <c r="E28" s="11" t="s">
        <v>102</v>
      </c>
      <c r="F28" s="12">
        <v>46191.75</v>
      </c>
      <c r="G28" s="11" t="s">
        <v>103</v>
      </c>
      <c r="H28" s="11" t="s">
        <v>90</v>
      </c>
      <c r="I28" s="11" t="s">
        <v>98</v>
      </c>
      <c r="J28" s="11" t="s">
        <v>113</v>
      </c>
      <c r="K28" s="13"/>
      <c r="L28" s="13"/>
      <c r="M28" s="14" t="str">
        <f t="shared" si="0"/>
        <v/>
      </c>
      <c r="N28" s="11" t="s">
        <v>83</v>
      </c>
    </row>
    <row r="29" spans="1:14" ht="71.25">
      <c r="A29" s="11">
        <v>28</v>
      </c>
      <c r="B29" s="11" t="s">
        <v>76</v>
      </c>
      <c r="C29" s="11" t="s">
        <v>77</v>
      </c>
      <c r="D29" s="12">
        <v>46192.125</v>
      </c>
      <c r="E29" s="11" t="s">
        <v>94</v>
      </c>
      <c r="F29" s="12">
        <v>46191.875</v>
      </c>
      <c r="G29" s="11" t="s">
        <v>78</v>
      </c>
      <c r="H29" s="11" t="s">
        <v>80</v>
      </c>
      <c r="I29" s="11" t="s">
        <v>86</v>
      </c>
      <c r="J29" s="11" t="s">
        <v>88</v>
      </c>
      <c r="K29" s="13"/>
      <c r="L29" s="13"/>
      <c r="M29" s="14" t="str">
        <f t="shared" si="0"/>
        <v/>
      </c>
      <c r="N29" s="11" t="s">
        <v>83</v>
      </c>
    </row>
    <row r="30" spans="1:14" ht="71.25">
      <c r="A30" s="11">
        <v>29</v>
      </c>
      <c r="B30" s="11" t="s">
        <v>76</v>
      </c>
      <c r="C30" s="11" t="s">
        <v>93</v>
      </c>
      <c r="D30" s="12">
        <v>46192.875</v>
      </c>
      <c r="E30" s="11" t="s">
        <v>78</v>
      </c>
      <c r="F30" s="12">
        <v>46192.625</v>
      </c>
      <c r="G30" s="11" t="s">
        <v>79</v>
      </c>
      <c r="H30" s="11" t="s">
        <v>95</v>
      </c>
      <c r="I30" s="11" t="s">
        <v>111</v>
      </c>
      <c r="J30" s="11" t="s">
        <v>140</v>
      </c>
      <c r="K30" s="13"/>
      <c r="L30" s="13"/>
      <c r="M30" s="14" t="str">
        <f t="shared" si="0"/>
        <v/>
      </c>
      <c r="N30" s="11" t="s">
        <v>83</v>
      </c>
    </row>
    <row r="31" spans="1:14" ht="71.25">
      <c r="A31" s="11">
        <v>30</v>
      </c>
      <c r="B31" s="11" t="s">
        <v>76</v>
      </c>
      <c r="C31" s="11" t="s">
        <v>101</v>
      </c>
      <c r="D31" s="12">
        <v>46193</v>
      </c>
      <c r="E31" s="11" t="s">
        <v>102</v>
      </c>
      <c r="F31" s="12">
        <v>46192.75</v>
      </c>
      <c r="G31" s="11" t="s">
        <v>103</v>
      </c>
      <c r="H31" s="11" t="s">
        <v>108</v>
      </c>
      <c r="I31" s="11" t="s">
        <v>105</v>
      </c>
      <c r="J31" s="11" t="s">
        <v>109</v>
      </c>
      <c r="K31" s="13"/>
      <c r="L31" s="13"/>
      <c r="M31" s="14" t="str">
        <f t="shared" si="0"/>
        <v/>
      </c>
      <c r="N31" s="11" t="s">
        <v>83</v>
      </c>
    </row>
    <row r="32" spans="1:14" ht="71.25">
      <c r="A32" s="11">
        <v>31</v>
      </c>
      <c r="B32" s="11" t="s">
        <v>76</v>
      </c>
      <c r="C32" s="11" t="s">
        <v>101</v>
      </c>
      <c r="D32" s="12">
        <v>46193.104166666664</v>
      </c>
      <c r="E32" s="11" t="s">
        <v>167</v>
      </c>
      <c r="F32" s="12">
        <v>46192.854166666664</v>
      </c>
      <c r="G32" s="11" t="s">
        <v>168</v>
      </c>
      <c r="H32" s="11" t="s">
        <v>104</v>
      </c>
      <c r="I32" s="11" t="s">
        <v>107</v>
      </c>
      <c r="J32" s="11" t="s">
        <v>128</v>
      </c>
      <c r="K32" s="13"/>
      <c r="L32" s="13"/>
      <c r="M32" s="14" t="str">
        <f t="shared" si="0"/>
        <v/>
      </c>
      <c r="N32" s="11" t="s">
        <v>83</v>
      </c>
    </row>
    <row r="33" spans="1:14" ht="71.25">
      <c r="A33" s="11">
        <v>32</v>
      </c>
      <c r="B33" s="11" t="s">
        <v>76</v>
      </c>
      <c r="C33" s="11" t="s">
        <v>93</v>
      </c>
      <c r="D33" s="12">
        <v>46193.208333333336</v>
      </c>
      <c r="E33" s="11" t="s">
        <v>169</v>
      </c>
      <c r="F33" s="12">
        <v>46192.958333333336</v>
      </c>
      <c r="G33" s="11" t="s">
        <v>170</v>
      </c>
      <c r="H33" s="11" t="s">
        <v>112</v>
      </c>
      <c r="I33" s="11" t="s">
        <v>96</v>
      </c>
      <c r="J33" s="11" t="s">
        <v>100</v>
      </c>
      <c r="K33" s="13"/>
      <c r="L33" s="13"/>
      <c r="M33" s="14" t="str">
        <f t="shared" si="0"/>
        <v/>
      </c>
      <c r="N33" s="11" t="s">
        <v>83</v>
      </c>
    </row>
    <row r="34" spans="1:14" ht="71.25">
      <c r="A34" s="11">
        <v>33</v>
      </c>
      <c r="B34" s="11" t="s">
        <v>76</v>
      </c>
      <c r="C34" s="11" t="s">
        <v>120</v>
      </c>
      <c r="D34" s="12">
        <v>46193.791666666664</v>
      </c>
      <c r="E34" s="11" t="s">
        <v>115</v>
      </c>
      <c r="F34" s="12">
        <v>46193.541666666664</v>
      </c>
      <c r="G34" s="11" t="s">
        <v>116</v>
      </c>
      <c r="H34" s="11" t="s">
        <v>122</v>
      </c>
      <c r="I34" s="11" t="s">
        <v>129</v>
      </c>
      <c r="J34" s="11" t="s">
        <v>119</v>
      </c>
      <c r="K34" s="13"/>
      <c r="L34" s="13"/>
      <c r="M34" s="14" t="str">
        <f t="shared" ref="M34:M65" si="1">IF(OR(K34="",L34=""),"",IF(K34&gt;L34,"1",IF(K34=L34,"X","2")))</f>
        <v/>
      </c>
      <c r="N34" s="11" t="s">
        <v>83</v>
      </c>
    </row>
    <row r="35" spans="1:14" ht="71.25">
      <c r="A35" s="11">
        <v>34</v>
      </c>
      <c r="B35" s="11" t="s">
        <v>76</v>
      </c>
      <c r="C35" s="11" t="s">
        <v>114</v>
      </c>
      <c r="D35" s="12">
        <v>46193.916666666664</v>
      </c>
      <c r="E35" s="11" t="s">
        <v>85</v>
      </c>
      <c r="F35" s="12">
        <v>46193.666666666664</v>
      </c>
      <c r="G35" s="11" t="s">
        <v>121</v>
      </c>
      <c r="H35" s="11" t="s">
        <v>117</v>
      </c>
      <c r="I35" s="11" t="s">
        <v>126</v>
      </c>
      <c r="J35" s="11" t="s">
        <v>92</v>
      </c>
      <c r="K35" s="13"/>
      <c r="L35" s="13"/>
      <c r="M35" s="14" t="str">
        <f t="shared" si="1"/>
        <v/>
      </c>
      <c r="N35" s="11" t="s">
        <v>83</v>
      </c>
    </row>
    <row r="36" spans="1:14" ht="71.25">
      <c r="A36" s="11">
        <v>35</v>
      </c>
      <c r="B36" s="11" t="s">
        <v>76</v>
      </c>
      <c r="C36" s="11" t="s">
        <v>114</v>
      </c>
      <c r="D36" s="12">
        <v>46194.083333333336</v>
      </c>
      <c r="E36" s="11" t="s">
        <v>171</v>
      </c>
      <c r="F36" s="12">
        <v>46193.833333333336</v>
      </c>
      <c r="G36" s="11" t="s">
        <v>172</v>
      </c>
      <c r="H36" s="11" t="s">
        <v>127</v>
      </c>
      <c r="I36" s="11" t="s">
        <v>118</v>
      </c>
      <c r="J36" s="11" t="s">
        <v>154</v>
      </c>
      <c r="K36" s="13"/>
      <c r="L36" s="13"/>
      <c r="M36" s="14" t="str">
        <f t="shared" si="1"/>
        <v/>
      </c>
      <c r="N36" s="11" t="s">
        <v>83</v>
      </c>
    </row>
    <row r="37" spans="1:14" ht="71.25">
      <c r="A37" s="11">
        <v>36</v>
      </c>
      <c r="B37" s="11" t="s">
        <v>76</v>
      </c>
      <c r="C37" s="11" t="s">
        <v>120</v>
      </c>
      <c r="D37" s="12">
        <v>46194.25</v>
      </c>
      <c r="E37" s="11" t="s">
        <v>110</v>
      </c>
      <c r="F37" s="12">
        <v>46194</v>
      </c>
      <c r="G37" s="11" t="s">
        <v>102</v>
      </c>
      <c r="H37" s="11" t="s">
        <v>130</v>
      </c>
      <c r="I37" s="11" t="s">
        <v>123</v>
      </c>
      <c r="J37" s="11" t="s">
        <v>131</v>
      </c>
      <c r="K37" s="13"/>
      <c r="L37" s="13"/>
      <c r="M37" s="14" t="str">
        <f t="shared" si="1"/>
        <v/>
      </c>
      <c r="N37" s="11" t="s">
        <v>83</v>
      </c>
    </row>
    <row r="38" spans="1:14" ht="71.25">
      <c r="A38" s="11">
        <v>37</v>
      </c>
      <c r="B38" s="11" t="s">
        <v>76</v>
      </c>
      <c r="C38" s="11" t="s">
        <v>132</v>
      </c>
      <c r="D38" s="12">
        <v>46194.75</v>
      </c>
      <c r="E38" s="11" t="s">
        <v>103</v>
      </c>
      <c r="F38" s="12">
        <v>46194.5</v>
      </c>
      <c r="G38" s="11" t="s">
        <v>133</v>
      </c>
      <c r="H38" s="11" t="s">
        <v>134</v>
      </c>
      <c r="I38" s="11" t="s">
        <v>141</v>
      </c>
      <c r="J38" s="11" t="s">
        <v>136</v>
      </c>
      <c r="K38" s="13"/>
      <c r="L38" s="13"/>
      <c r="M38" s="14" t="str">
        <f t="shared" si="1"/>
        <v/>
      </c>
      <c r="N38" s="11" t="s">
        <v>83</v>
      </c>
    </row>
    <row r="39" spans="1:14" ht="71.25">
      <c r="A39" s="11">
        <v>38</v>
      </c>
      <c r="B39" s="11" t="s">
        <v>76</v>
      </c>
      <c r="C39" s="11" t="s">
        <v>137</v>
      </c>
      <c r="D39" s="12">
        <v>46194.875</v>
      </c>
      <c r="E39" s="11" t="s">
        <v>78</v>
      </c>
      <c r="F39" s="12">
        <v>46194.625</v>
      </c>
      <c r="G39" s="11" t="s">
        <v>79</v>
      </c>
      <c r="H39" s="11" t="s">
        <v>138</v>
      </c>
      <c r="I39" s="11" t="s">
        <v>144</v>
      </c>
      <c r="J39" s="11" t="s">
        <v>97</v>
      </c>
      <c r="K39" s="13"/>
      <c r="L39" s="13"/>
      <c r="M39" s="14" t="str">
        <f t="shared" si="1"/>
        <v/>
      </c>
      <c r="N39" s="11" t="s">
        <v>83</v>
      </c>
    </row>
    <row r="40" spans="1:14" ht="71.25">
      <c r="A40" s="11">
        <v>39</v>
      </c>
      <c r="B40" s="11" t="s">
        <v>76</v>
      </c>
      <c r="C40" s="11" t="s">
        <v>132</v>
      </c>
      <c r="D40" s="12">
        <v>46195</v>
      </c>
      <c r="E40" s="11" t="s">
        <v>102</v>
      </c>
      <c r="F40" s="12">
        <v>46194.75</v>
      </c>
      <c r="G40" s="11" t="s">
        <v>103</v>
      </c>
      <c r="H40" s="11" t="s">
        <v>142</v>
      </c>
      <c r="I40" s="11" t="s">
        <v>135</v>
      </c>
      <c r="J40" s="11" t="s">
        <v>143</v>
      </c>
      <c r="K40" s="13"/>
      <c r="L40" s="13"/>
      <c r="M40" s="14" t="str">
        <f t="shared" si="1"/>
        <v/>
      </c>
      <c r="N40" s="11" t="s">
        <v>83</v>
      </c>
    </row>
    <row r="41" spans="1:14" ht="71.25">
      <c r="A41" s="11">
        <v>40</v>
      </c>
      <c r="B41" s="11" t="s">
        <v>76</v>
      </c>
      <c r="C41" s="11" t="s">
        <v>137</v>
      </c>
      <c r="D41" s="12">
        <v>46195.125</v>
      </c>
      <c r="E41" s="11" t="s">
        <v>94</v>
      </c>
      <c r="F41" s="12">
        <v>46194.875</v>
      </c>
      <c r="G41" s="11" t="s">
        <v>78</v>
      </c>
      <c r="H41" s="11" t="s">
        <v>145</v>
      </c>
      <c r="I41" s="11" t="s">
        <v>139</v>
      </c>
      <c r="J41" s="11" t="s">
        <v>113</v>
      </c>
      <c r="K41" s="13"/>
      <c r="L41" s="13"/>
      <c r="M41" s="14" t="str">
        <f t="shared" si="1"/>
        <v/>
      </c>
      <c r="N41" s="11" t="s">
        <v>83</v>
      </c>
    </row>
    <row r="42" spans="1:14" ht="71.25">
      <c r="A42" s="11">
        <v>41</v>
      </c>
      <c r="B42" s="11" t="s">
        <v>76</v>
      </c>
      <c r="C42" s="11" t="s">
        <v>151</v>
      </c>
      <c r="D42" s="12">
        <v>46195.791666666664</v>
      </c>
      <c r="E42" s="11" t="s">
        <v>115</v>
      </c>
      <c r="F42" s="12">
        <v>46195.541666666664</v>
      </c>
      <c r="G42" s="11" t="s">
        <v>116</v>
      </c>
      <c r="H42" s="11" t="s">
        <v>152</v>
      </c>
      <c r="I42" s="11" t="s">
        <v>155</v>
      </c>
      <c r="J42" s="11" t="s">
        <v>124</v>
      </c>
      <c r="K42" s="13"/>
      <c r="L42" s="13"/>
      <c r="M42" s="14" t="str">
        <f t="shared" si="1"/>
        <v/>
      </c>
      <c r="N42" s="11" t="s">
        <v>83</v>
      </c>
    </row>
    <row r="43" spans="1:14" ht="71.25">
      <c r="A43" s="11">
        <v>42</v>
      </c>
      <c r="B43" s="11" t="s">
        <v>76</v>
      </c>
      <c r="C43" s="11" t="s">
        <v>146</v>
      </c>
      <c r="D43" s="12">
        <v>46195.958333333336</v>
      </c>
      <c r="E43" s="11" t="s">
        <v>170</v>
      </c>
      <c r="F43" s="12">
        <v>46195.708333333336</v>
      </c>
      <c r="G43" s="11" t="s">
        <v>173</v>
      </c>
      <c r="H43" s="11" t="s">
        <v>147</v>
      </c>
      <c r="I43" s="11" t="s">
        <v>149</v>
      </c>
      <c r="J43" s="11" t="s">
        <v>128</v>
      </c>
      <c r="K43" s="13"/>
      <c r="L43" s="13"/>
      <c r="M43" s="14" t="str">
        <f t="shared" si="1"/>
        <v/>
      </c>
      <c r="N43" s="11" t="s">
        <v>83</v>
      </c>
    </row>
    <row r="44" spans="1:14" ht="71.25">
      <c r="A44" s="11">
        <v>43</v>
      </c>
      <c r="B44" s="11" t="s">
        <v>76</v>
      </c>
      <c r="C44" s="11" t="s">
        <v>146</v>
      </c>
      <c r="D44" s="12">
        <v>46196.083333333336</v>
      </c>
      <c r="E44" s="11" t="s">
        <v>171</v>
      </c>
      <c r="F44" s="12">
        <v>46195.833333333336</v>
      </c>
      <c r="G44" s="11" t="s">
        <v>172</v>
      </c>
      <c r="H44" s="11" t="s">
        <v>150</v>
      </c>
      <c r="I44" s="11" t="s">
        <v>148</v>
      </c>
      <c r="J44" s="11" t="s">
        <v>106</v>
      </c>
      <c r="K44" s="13"/>
      <c r="L44" s="13"/>
      <c r="M44" s="14" t="str">
        <f t="shared" si="1"/>
        <v/>
      </c>
      <c r="N44" s="11" t="s">
        <v>83</v>
      </c>
    </row>
    <row r="45" spans="1:14" ht="71.25">
      <c r="A45" s="11">
        <v>44</v>
      </c>
      <c r="B45" s="11" t="s">
        <v>76</v>
      </c>
      <c r="C45" s="11" t="s">
        <v>151</v>
      </c>
      <c r="D45" s="12">
        <v>46196.208333333336</v>
      </c>
      <c r="E45" s="11" t="s">
        <v>169</v>
      </c>
      <c r="F45" s="12">
        <v>46195.958333333336</v>
      </c>
      <c r="G45" s="11" t="s">
        <v>170</v>
      </c>
      <c r="H45" s="11" t="s">
        <v>156</v>
      </c>
      <c r="I45" s="11" t="s">
        <v>153</v>
      </c>
      <c r="J45" s="11" t="s">
        <v>100</v>
      </c>
      <c r="K45" s="13"/>
      <c r="L45" s="13"/>
      <c r="M45" s="14" t="str">
        <f t="shared" si="1"/>
        <v/>
      </c>
      <c r="N45" s="11" t="s">
        <v>83</v>
      </c>
    </row>
    <row r="46" spans="1:14" ht="71.25">
      <c r="A46" s="11">
        <v>45</v>
      </c>
      <c r="B46" s="11" t="s">
        <v>76</v>
      </c>
      <c r="C46" s="11" t="s">
        <v>157</v>
      </c>
      <c r="D46" s="12">
        <v>46196.791666666664</v>
      </c>
      <c r="E46" s="11" t="s">
        <v>115</v>
      </c>
      <c r="F46" s="12">
        <v>46196.541666666664</v>
      </c>
      <c r="G46" s="11" t="s">
        <v>116</v>
      </c>
      <c r="H46" s="11" t="s">
        <v>158</v>
      </c>
      <c r="I46" s="11" t="s">
        <v>165</v>
      </c>
      <c r="J46" s="11" t="s">
        <v>119</v>
      </c>
      <c r="K46" s="13"/>
      <c r="L46" s="13"/>
      <c r="M46" s="14" t="str">
        <f t="shared" si="1"/>
        <v/>
      </c>
      <c r="N46" s="11" t="s">
        <v>83</v>
      </c>
    </row>
    <row r="47" spans="1:14" ht="71.25">
      <c r="A47" s="11">
        <v>46</v>
      </c>
      <c r="B47" s="11" t="s">
        <v>76</v>
      </c>
      <c r="C47" s="11" t="s">
        <v>160</v>
      </c>
      <c r="D47" s="12">
        <v>46196.916666666664</v>
      </c>
      <c r="E47" s="11" t="s">
        <v>85</v>
      </c>
      <c r="F47" s="12">
        <v>46196.666666666664</v>
      </c>
      <c r="G47" s="11" t="s">
        <v>121</v>
      </c>
      <c r="H47" s="11" t="s">
        <v>161</v>
      </c>
      <c r="I47" s="11" t="s">
        <v>163</v>
      </c>
      <c r="J47" s="11" t="s">
        <v>109</v>
      </c>
      <c r="K47" s="13"/>
      <c r="L47" s="13"/>
      <c r="M47" s="14" t="str">
        <f t="shared" si="1"/>
        <v/>
      </c>
      <c r="N47" s="11" t="s">
        <v>83</v>
      </c>
    </row>
    <row r="48" spans="1:14" ht="71.25">
      <c r="A48" s="11">
        <v>47</v>
      </c>
      <c r="B48" s="11" t="s">
        <v>76</v>
      </c>
      <c r="C48" s="11" t="s">
        <v>160</v>
      </c>
      <c r="D48" s="12">
        <v>46197.041666666664</v>
      </c>
      <c r="E48" s="11" t="s">
        <v>125</v>
      </c>
      <c r="F48" s="12">
        <v>46196.791666666664</v>
      </c>
      <c r="G48" s="11" t="s">
        <v>115</v>
      </c>
      <c r="H48" s="11" t="s">
        <v>164</v>
      </c>
      <c r="I48" s="11" t="s">
        <v>162</v>
      </c>
      <c r="J48" s="11" t="s">
        <v>92</v>
      </c>
      <c r="K48" s="13"/>
      <c r="L48" s="13"/>
      <c r="M48" s="14" t="str">
        <f t="shared" si="1"/>
        <v/>
      </c>
      <c r="N48" s="11" t="s">
        <v>83</v>
      </c>
    </row>
    <row r="49" spans="1:14" ht="71.25">
      <c r="A49" s="11">
        <v>48</v>
      </c>
      <c r="B49" s="11" t="s">
        <v>76</v>
      </c>
      <c r="C49" s="11" t="s">
        <v>157</v>
      </c>
      <c r="D49" s="12">
        <v>46197.166666666664</v>
      </c>
      <c r="E49" s="11" t="s">
        <v>84</v>
      </c>
      <c r="F49" s="12">
        <v>46196.916666666664</v>
      </c>
      <c r="G49" s="11" t="s">
        <v>85</v>
      </c>
      <c r="H49" s="11" t="s">
        <v>166</v>
      </c>
      <c r="I49" s="11" t="s">
        <v>159</v>
      </c>
      <c r="J49" s="11" t="s">
        <v>88</v>
      </c>
      <c r="K49" s="13"/>
      <c r="L49" s="13"/>
      <c r="M49" s="14" t="str">
        <f t="shared" si="1"/>
        <v/>
      </c>
      <c r="N49" s="11" t="s">
        <v>83</v>
      </c>
    </row>
    <row r="50" spans="1:14" ht="71.25">
      <c r="A50" s="11">
        <v>49</v>
      </c>
      <c r="B50" s="11" t="s">
        <v>76</v>
      </c>
      <c r="C50" s="11" t="s">
        <v>89</v>
      </c>
      <c r="D50" s="12">
        <v>46197.875</v>
      </c>
      <c r="E50" s="11" t="s">
        <v>78</v>
      </c>
      <c r="F50" s="12">
        <v>46197.625</v>
      </c>
      <c r="G50" s="11" t="s">
        <v>79</v>
      </c>
      <c r="H50" s="11" t="s">
        <v>99</v>
      </c>
      <c r="I50" s="11" t="s">
        <v>90</v>
      </c>
      <c r="J50" s="11" t="s">
        <v>113</v>
      </c>
      <c r="K50" s="13"/>
      <c r="L50" s="13"/>
      <c r="M50" s="14" t="str">
        <f t="shared" si="1"/>
        <v/>
      </c>
      <c r="N50" s="11" t="s">
        <v>83</v>
      </c>
    </row>
    <row r="51" spans="1:14" ht="71.25">
      <c r="A51" s="11">
        <v>50</v>
      </c>
      <c r="B51" s="11" t="s">
        <v>76</v>
      </c>
      <c r="C51" s="11" t="s">
        <v>89</v>
      </c>
      <c r="D51" s="12">
        <v>46197.875</v>
      </c>
      <c r="E51" s="11" t="s">
        <v>78</v>
      </c>
      <c r="F51" s="12">
        <v>46197.625</v>
      </c>
      <c r="G51" s="11" t="s">
        <v>79</v>
      </c>
      <c r="H51" s="11" t="s">
        <v>91</v>
      </c>
      <c r="I51" s="11" t="s">
        <v>98</v>
      </c>
      <c r="J51" s="11" t="s">
        <v>140</v>
      </c>
      <c r="K51" s="13"/>
      <c r="L51" s="13"/>
      <c r="M51" s="14" t="str">
        <f t="shared" si="1"/>
        <v/>
      </c>
      <c r="N51" s="11" t="s">
        <v>83</v>
      </c>
    </row>
    <row r="52" spans="1:14" ht="71.25">
      <c r="A52" s="11">
        <v>51</v>
      </c>
      <c r="B52" s="11" t="s">
        <v>76</v>
      </c>
      <c r="C52" s="11" t="s">
        <v>101</v>
      </c>
      <c r="D52" s="12">
        <v>46198</v>
      </c>
      <c r="E52" s="11" t="s">
        <v>102</v>
      </c>
      <c r="F52" s="12">
        <v>46197.75</v>
      </c>
      <c r="G52" s="11" t="s">
        <v>103</v>
      </c>
      <c r="H52" s="11" t="s">
        <v>108</v>
      </c>
      <c r="I52" s="11" t="s">
        <v>104</v>
      </c>
      <c r="J52" s="11" t="s">
        <v>143</v>
      </c>
      <c r="K52" s="13"/>
      <c r="L52" s="13"/>
      <c r="M52" s="14" t="str">
        <f t="shared" si="1"/>
        <v/>
      </c>
      <c r="N52" s="11" t="s">
        <v>83</v>
      </c>
    </row>
    <row r="53" spans="1:14" ht="71.25">
      <c r="A53" s="11">
        <v>52</v>
      </c>
      <c r="B53" s="11" t="s">
        <v>76</v>
      </c>
      <c r="C53" s="11" t="s">
        <v>101</v>
      </c>
      <c r="D53" s="12">
        <v>46198</v>
      </c>
      <c r="E53" s="11" t="s">
        <v>102</v>
      </c>
      <c r="F53" s="12">
        <v>46197.75</v>
      </c>
      <c r="G53" s="11" t="s">
        <v>103</v>
      </c>
      <c r="H53" s="11" t="s">
        <v>105</v>
      </c>
      <c r="I53" s="11" t="s">
        <v>107</v>
      </c>
      <c r="J53" s="11" t="s">
        <v>136</v>
      </c>
      <c r="K53" s="13"/>
      <c r="L53" s="13"/>
      <c r="M53" s="14" t="str">
        <f t="shared" si="1"/>
        <v/>
      </c>
      <c r="N53" s="11" t="s">
        <v>83</v>
      </c>
    </row>
    <row r="54" spans="1:14" ht="71.25">
      <c r="A54" s="11">
        <v>53</v>
      </c>
      <c r="B54" s="11" t="s">
        <v>76</v>
      </c>
      <c r="C54" s="11" t="s">
        <v>77</v>
      </c>
      <c r="D54" s="12">
        <v>46198.125</v>
      </c>
      <c r="E54" s="11" t="s">
        <v>94</v>
      </c>
      <c r="F54" s="12">
        <v>46197.875</v>
      </c>
      <c r="G54" s="11" t="s">
        <v>78</v>
      </c>
      <c r="H54" s="11" t="s">
        <v>87</v>
      </c>
      <c r="I54" s="11" t="s">
        <v>80</v>
      </c>
      <c r="J54" s="11" t="s">
        <v>82</v>
      </c>
      <c r="K54" s="13"/>
      <c r="L54" s="13"/>
      <c r="M54" s="14" t="str">
        <f t="shared" si="1"/>
        <v/>
      </c>
      <c r="N54" s="11" t="s">
        <v>83</v>
      </c>
    </row>
    <row r="55" spans="1:14" ht="71.25">
      <c r="A55" s="11">
        <v>54</v>
      </c>
      <c r="B55" s="11" t="s">
        <v>76</v>
      </c>
      <c r="C55" s="11" t="s">
        <v>77</v>
      </c>
      <c r="D55" s="12">
        <v>46198.125</v>
      </c>
      <c r="E55" s="11" t="s">
        <v>94</v>
      </c>
      <c r="F55" s="12">
        <v>46197.875</v>
      </c>
      <c r="G55" s="11" t="s">
        <v>78</v>
      </c>
      <c r="H55" s="11" t="s">
        <v>81</v>
      </c>
      <c r="I55" s="11" t="s">
        <v>86</v>
      </c>
      <c r="J55" s="11" t="s">
        <v>131</v>
      </c>
      <c r="K55" s="13"/>
      <c r="L55" s="13"/>
      <c r="M55" s="14" t="str">
        <f t="shared" si="1"/>
        <v/>
      </c>
      <c r="N55" s="11" t="s">
        <v>83</v>
      </c>
    </row>
    <row r="56" spans="1:14" ht="71.25">
      <c r="A56" s="11">
        <v>55</v>
      </c>
      <c r="B56" s="11" t="s">
        <v>76</v>
      </c>
      <c r="C56" s="11" t="s">
        <v>114</v>
      </c>
      <c r="D56" s="12">
        <v>46198.916666666664</v>
      </c>
      <c r="E56" s="11" t="s">
        <v>85</v>
      </c>
      <c r="F56" s="12">
        <v>46198.666666666664</v>
      </c>
      <c r="G56" s="11" t="s">
        <v>121</v>
      </c>
      <c r="H56" s="11" t="s">
        <v>118</v>
      </c>
      <c r="I56" s="11" t="s">
        <v>126</v>
      </c>
      <c r="J56" s="11" t="s">
        <v>128</v>
      </c>
      <c r="K56" s="13"/>
      <c r="L56" s="13"/>
      <c r="M56" s="14" t="str">
        <f t="shared" si="1"/>
        <v/>
      </c>
      <c r="N56" s="11" t="s">
        <v>83</v>
      </c>
    </row>
    <row r="57" spans="1:14" ht="71.25">
      <c r="A57" s="11">
        <v>56</v>
      </c>
      <c r="B57" s="11" t="s">
        <v>76</v>
      </c>
      <c r="C57" s="11" t="s">
        <v>114</v>
      </c>
      <c r="D57" s="12">
        <v>46198.916666666664</v>
      </c>
      <c r="E57" s="11" t="s">
        <v>85</v>
      </c>
      <c r="F57" s="12">
        <v>46198.666666666664</v>
      </c>
      <c r="G57" s="11" t="s">
        <v>121</v>
      </c>
      <c r="H57" s="11" t="s">
        <v>127</v>
      </c>
      <c r="I57" s="11" t="s">
        <v>117</v>
      </c>
      <c r="J57" s="11" t="s">
        <v>106</v>
      </c>
      <c r="K57" s="13"/>
      <c r="L57" s="13"/>
      <c r="M57" s="14" t="str">
        <f t="shared" si="1"/>
        <v/>
      </c>
      <c r="N57" s="11" t="s">
        <v>83</v>
      </c>
    </row>
    <row r="58" spans="1:14" ht="71.25">
      <c r="A58" s="11">
        <v>57</v>
      </c>
      <c r="B58" s="11" t="s">
        <v>76</v>
      </c>
      <c r="C58" s="11" t="s">
        <v>120</v>
      </c>
      <c r="D58" s="12">
        <v>46199.041666666664</v>
      </c>
      <c r="E58" s="11" t="s">
        <v>125</v>
      </c>
      <c r="F58" s="12">
        <v>46198.791666666664</v>
      </c>
      <c r="G58" s="11" t="s">
        <v>115</v>
      </c>
      <c r="H58" s="11" t="s">
        <v>123</v>
      </c>
      <c r="I58" s="11" t="s">
        <v>129</v>
      </c>
      <c r="J58" s="11" t="s">
        <v>124</v>
      </c>
      <c r="K58" s="13"/>
      <c r="L58" s="13"/>
      <c r="M58" s="14" t="str">
        <f t="shared" si="1"/>
        <v/>
      </c>
      <c r="N58" s="11" t="s">
        <v>83</v>
      </c>
    </row>
    <row r="59" spans="1:14" ht="71.25">
      <c r="A59" s="11">
        <v>58</v>
      </c>
      <c r="B59" s="11" t="s">
        <v>76</v>
      </c>
      <c r="C59" s="11" t="s">
        <v>120</v>
      </c>
      <c r="D59" s="12">
        <v>46199.041666666664</v>
      </c>
      <c r="E59" s="11" t="s">
        <v>125</v>
      </c>
      <c r="F59" s="12">
        <v>46198.791666666664</v>
      </c>
      <c r="G59" s="11" t="s">
        <v>115</v>
      </c>
      <c r="H59" s="11" t="s">
        <v>130</v>
      </c>
      <c r="I59" s="11" t="s">
        <v>122</v>
      </c>
      <c r="J59" s="11" t="s">
        <v>154</v>
      </c>
      <c r="K59" s="13"/>
      <c r="L59" s="13"/>
      <c r="M59" s="14" t="str">
        <f t="shared" si="1"/>
        <v/>
      </c>
      <c r="N59" s="11" t="s">
        <v>83</v>
      </c>
    </row>
    <row r="60" spans="1:14" ht="71.25">
      <c r="A60" s="11">
        <v>59</v>
      </c>
      <c r="B60" s="11" t="s">
        <v>76</v>
      </c>
      <c r="C60" s="11" t="s">
        <v>93</v>
      </c>
      <c r="D60" s="12">
        <v>46199.166666666664</v>
      </c>
      <c r="E60" s="11" t="s">
        <v>84</v>
      </c>
      <c r="F60" s="12">
        <v>46198.916666666664</v>
      </c>
      <c r="G60" s="11" t="s">
        <v>85</v>
      </c>
      <c r="H60" s="11" t="s">
        <v>112</v>
      </c>
      <c r="I60" s="11" t="s">
        <v>95</v>
      </c>
      <c r="J60" s="11" t="s">
        <v>97</v>
      </c>
      <c r="K60" s="13"/>
      <c r="L60" s="13"/>
      <c r="M60" s="14" t="str">
        <f t="shared" si="1"/>
        <v/>
      </c>
      <c r="N60" s="11" t="s">
        <v>83</v>
      </c>
    </row>
    <row r="61" spans="1:14" ht="71.25">
      <c r="A61" s="11">
        <v>60</v>
      </c>
      <c r="B61" s="11" t="s">
        <v>76</v>
      </c>
      <c r="C61" s="11" t="s">
        <v>93</v>
      </c>
      <c r="D61" s="12">
        <v>46199.166666666664</v>
      </c>
      <c r="E61" s="11" t="s">
        <v>84</v>
      </c>
      <c r="F61" s="12">
        <v>46198.916666666664</v>
      </c>
      <c r="G61" s="11" t="s">
        <v>85</v>
      </c>
      <c r="H61" s="11" t="s">
        <v>96</v>
      </c>
      <c r="I61" s="11" t="s">
        <v>111</v>
      </c>
      <c r="J61" s="11" t="s">
        <v>100</v>
      </c>
      <c r="K61" s="13"/>
      <c r="L61" s="13"/>
      <c r="M61" s="14" t="str">
        <f t="shared" si="1"/>
        <v/>
      </c>
      <c r="N61" s="11" t="s">
        <v>83</v>
      </c>
    </row>
    <row r="62" spans="1:14" ht="71.25">
      <c r="A62" s="11">
        <v>61</v>
      </c>
      <c r="B62" s="11" t="s">
        <v>76</v>
      </c>
      <c r="C62" s="11" t="s">
        <v>146</v>
      </c>
      <c r="D62" s="12">
        <v>46199.875</v>
      </c>
      <c r="E62" s="11" t="s">
        <v>78</v>
      </c>
      <c r="F62" s="12">
        <v>46199.625</v>
      </c>
      <c r="G62" s="11" t="s">
        <v>79</v>
      </c>
      <c r="H62" s="11" t="s">
        <v>150</v>
      </c>
      <c r="I62" s="11" t="s">
        <v>147</v>
      </c>
      <c r="J62" s="11" t="s">
        <v>109</v>
      </c>
      <c r="K62" s="13"/>
      <c r="L62" s="13"/>
      <c r="M62" s="14" t="str">
        <f t="shared" si="1"/>
        <v/>
      </c>
      <c r="N62" s="11" t="s">
        <v>83</v>
      </c>
    </row>
    <row r="63" spans="1:14" ht="71.25">
      <c r="A63" s="11">
        <v>62</v>
      </c>
      <c r="B63" s="11" t="s">
        <v>76</v>
      </c>
      <c r="C63" s="11" t="s">
        <v>146</v>
      </c>
      <c r="D63" s="12">
        <v>46199.875</v>
      </c>
      <c r="E63" s="11" t="s">
        <v>78</v>
      </c>
      <c r="F63" s="12">
        <v>46199.625</v>
      </c>
      <c r="G63" s="11" t="s">
        <v>79</v>
      </c>
      <c r="H63" s="11" t="s">
        <v>148</v>
      </c>
      <c r="I63" s="11" t="s">
        <v>149</v>
      </c>
      <c r="J63" s="11" t="s">
        <v>92</v>
      </c>
      <c r="K63" s="13"/>
      <c r="L63" s="13"/>
      <c r="M63" s="14" t="str">
        <f t="shared" si="1"/>
        <v/>
      </c>
      <c r="N63" s="11" t="s">
        <v>83</v>
      </c>
    </row>
    <row r="64" spans="1:14" ht="71.25">
      <c r="A64" s="11">
        <v>63</v>
      </c>
      <c r="B64" s="11" t="s">
        <v>76</v>
      </c>
      <c r="C64" s="11" t="s">
        <v>132</v>
      </c>
      <c r="D64" s="12">
        <v>46200.083333333336</v>
      </c>
      <c r="E64" s="11" t="s">
        <v>171</v>
      </c>
      <c r="F64" s="12">
        <v>46199.833333333336</v>
      </c>
      <c r="G64" s="11" t="s">
        <v>172</v>
      </c>
      <c r="H64" s="11" t="s">
        <v>135</v>
      </c>
      <c r="I64" s="11" t="s">
        <v>141</v>
      </c>
      <c r="J64" s="11" t="s">
        <v>119</v>
      </c>
      <c r="K64" s="13"/>
      <c r="L64" s="13"/>
      <c r="M64" s="14" t="str">
        <f t="shared" si="1"/>
        <v/>
      </c>
      <c r="N64" s="11" t="s">
        <v>83</v>
      </c>
    </row>
    <row r="65" spans="1:14" ht="71.25">
      <c r="A65" s="11">
        <v>64</v>
      </c>
      <c r="B65" s="11" t="s">
        <v>76</v>
      </c>
      <c r="C65" s="11" t="s">
        <v>132</v>
      </c>
      <c r="D65" s="12">
        <v>46200.083333333336</v>
      </c>
      <c r="E65" s="11" t="s">
        <v>171</v>
      </c>
      <c r="F65" s="12">
        <v>46199.833333333336</v>
      </c>
      <c r="G65" s="11" t="s">
        <v>172</v>
      </c>
      <c r="H65" s="11" t="s">
        <v>142</v>
      </c>
      <c r="I65" s="11" t="s">
        <v>134</v>
      </c>
      <c r="J65" s="11" t="s">
        <v>88</v>
      </c>
      <c r="K65" s="13"/>
      <c r="L65" s="13"/>
      <c r="M65" s="14" t="str">
        <f t="shared" si="1"/>
        <v/>
      </c>
      <c r="N65" s="11" t="s">
        <v>83</v>
      </c>
    </row>
    <row r="66" spans="1:14" ht="71.25">
      <c r="A66" s="11">
        <v>65</v>
      </c>
      <c r="B66" s="11" t="s">
        <v>76</v>
      </c>
      <c r="C66" s="11" t="s">
        <v>137</v>
      </c>
      <c r="D66" s="12">
        <v>46200.208333333336</v>
      </c>
      <c r="E66" s="11" t="s">
        <v>169</v>
      </c>
      <c r="F66" s="12">
        <v>46199.958333333336</v>
      </c>
      <c r="G66" s="11" t="s">
        <v>170</v>
      </c>
      <c r="H66" s="11" t="s">
        <v>139</v>
      </c>
      <c r="I66" s="11" t="s">
        <v>144</v>
      </c>
      <c r="J66" s="11" t="s">
        <v>140</v>
      </c>
      <c r="K66" s="13"/>
      <c r="L66" s="13"/>
      <c r="M66" s="14" t="str">
        <f t="shared" ref="M66:M97" si="2">IF(OR(K66="",L66=""),"",IF(K66&gt;L66,"1",IF(K66=L66,"X","2")))</f>
        <v/>
      </c>
      <c r="N66" s="11" t="s">
        <v>83</v>
      </c>
    </row>
    <row r="67" spans="1:14" ht="71.25">
      <c r="A67" s="11">
        <v>66</v>
      </c>
      <c r="B67" s="11" t="s">
        <v>76</v>
      </c>
      <c r="C67" s="11" t="s">
        <v>137</v>
      </c>
      <c r="D67" s="12">
        <v>46200.208333333336</v>
      </c>
      <c r="E67" s="11" t="s">
        <v>169</v>
      </c>
      <c r="F67" s="12">
        <v>46199.958333333336</v>
      </c>
      <c r="G67" s="11" t="s">
        <v>170</v>
      </c>
      <c r="H67" s="11" t="s">
        <v>145</v>
      </c>
      <c r="I67" s="11" t="s">
        <v>138</v>
      </c>
      <c r="J67" s="11" t="s">
        <v>113</v>
      </c>
      <c r="K67" s="13"/>
      <c r="L67" s="13"/>
      <c r="M67" s="14" t="str">
        <f t="shared" si="2"/>
        <v/>
      </c>
      <c r="N67" s="11" t="s">
        <v>83</v>
      </c>
    </row>
    <row r="68" spans="1:14" ht="71.25">
      <c r="A68" s="11">
        <v>67</v>
      </c>
      <c r="B68" s="11" t="s">
        <v>76</v>
      </c>
      <c r="C68" s="11" t="s">
        <v>160</v>
      </c>
      <c r="D68" s="12">
        <v>46200.958333333336</v>
      </c>
      <c r="E68" s="11" t="s">
        <v>170</v>
      </c>
      <c r="F68" s="12">
        <v>46200.708333333336</v>
      </c>
      <c r="G68" s="11" t="s">
        <v>173</v>
      </c>
      <c r="H68" s="11" t="s">
        <v>164</v>
      </c>
      <c r="I68" s="11" t="s">
        <v>161</v>
      </c>
      <c r="J68" s="11" t="s">
        <v>106</v>
      </c>
      <c r="K68" s="13"/>
      <c r="L68" s="13"/>
      <c r="M68" s="14" t="str">
        <f t="shared" si="2"/>
        <v/>
      </c>
      <c r="N68" s="11" t="s">
        <v>83</v>
      </c>
    </row>
    <row r="69" spans="1:14" ht="71.25">
      <c r="A69" s="11">
        <v>68</v>
      </c>
      <c r="B69" s="11" t="s">
        <v>76</v>
      </c>
      <c r="C69" s="11" t="s">
        <v>160</v>
      </c>
      <c r="D69" s="12">
        <v>46200.958333333336</v>
      </c>
      <c r="E69" s="11" t="s">
        <v>170</v>
      </c>
      <c r="F69" s="12">
        <v>46200.708333333336</v>
      </c>
      <c r="G69" s="11" t="s">
        <v>173</v>
      </c>
      <c r="H69" s="11" t="s">
        <v>162</v>
      </c>
      <c r="I69" s="11" t="s">
        <v>163</v>
      </c>
      <c r="J69" s="11" t="s">
        <v>128</v>
      </c>
      <c r="K69" s="13"/>
      <c r="L69" s="13"/>
      <c r="M69" s="14" t="str">
        <f t="shared" si="2"/>
        <v/>
      </c>
      <c r="N69" s="11" t="s">
        <v>83</v>
      </c>
    </row>
    <row r="70" spans="1:14" ht="71.25">
      <c r="A70" s="11">
        <v>69</v>
      </c>
      <c r="B70" s="11" t="s">
        <v>76</v>
      </c>
      <c r="C70" s="11" t="s">
        <v>157</v>
      </c>
      <c r="D70" s="12">
        <v>46201.0625</v>
      </c>
      <c r="E70" s="11" t="s">
        <v>174</v>
      </c>
      <c r="F70" s="12">
        <v>46200.8125</v>
      </c>
      <c r="G70" s="11" t="s">
        <v>175</v>
      </c>
      <c r="H70" s="11" t="s">
        <v>166</v>
      </c>
      <c r="I70" s="11" t="s">
        <v>158</v>
      </c>
      <c r="J70" s="11" t="s">
        <v>143</v>
      </c>
      <c r="K70" s="13"/>
      <c r="L70" s="13"/>
      <c r="M70" s="14" t="str">
        <f t="shared" si="2"/>
        <v/>
      </c>
      <c r="N70" s="11" t="s">
        <v>83</v>
      </c>
    </row>
    <row r="71" spans="1:14" ht="71.25">
      <c r="A71" s="11">
        <v>70</v>
      </c>
      <c r="B71" s="11" t="s">
        <v>76</v>
      </c>
      <c r="C71" s="11" t="s">
        <v>157</v>
      </c>
      <c r="D71" s="12">
        <v>46201.0625</v>
      </c>
      <c r="E71" s="11" t="s">
        <v>174</v>
      </c>
      <c r="F71" s="12">
        <v>46200.8125</v>
      </c>
      <c r="G71" s="11" t="s">
        <v>175</v>
      </c>
      <c r="H71" s="11" t="s">
        <v>159</v>
      </c>
      <c r="I71" s="11" t="s">
        <v>165</v>
      </c>
      <c r="J71" s="11" t="s">
        <v>136</v>
      </c>
      <c r="K71" s="13"/>
      <c r="L71" s="13"/>
      <c r="M71" s="14" t="str">
        <f t="shared" si="2"/>
        <v/>
      </c>
      <c r="N71" s="11" t="s">
        <v>83</v>
      </c>
    </row>
    <row r="72" spans="1:14" ht="71.25">
      <c r="A72" s="11">
        <v>71</v>
      </c>
      <c r="B72" s="11" t="s">
        <v>76</v>
      </c>
      <c r="C72" s="11" t="s">
        <v>151</v>
      </c>
      <c r="D72" s="12">
        <v>46201.166666666664</v>
      </c>
      <c r="E72" s="11" t="s">
        <v>84</v>
      </c>
      <c r="F72" s="12">
        <v>46200.916666666664</v>
      </c>
      <c r="G72" s="11" t="s">
        <v>85</v>
      </c>
      <c r="H72" s="11" t="s">
        <v>153</v>
      </c>
      <c r="I72" s="11" t="s">
        <v>155</v>
      </c>
      <c r="J72" s="11" t="s">
        <v>154</v>
      </c>
      <c r="K72" s="13"/>
      <c r="L72" s="13"/>
      <c r="M72" s="14" t="str">
        <f t="shared" si="2"/>
        <v/>
      </c>
      <c r="N72" s="11" t="s">
        <v>83</v>
      </c>
    </row>
    <row r="73" spans="1:14" ht="71.25">
      <c r="A73" s="11">
        <v>72</v>
      </c>
      <c r="B73" s="11" t="s">
        <v>76</v>
      </c>
      <c r="C73" s="11" t="s">
        <v>151</v>
      </c>
      <c r="D73" s="12">
        <v>46201.166666666664</v>
      </c>
      <c r="E73" s="11" t="s">
        <v>84</v>
      </c>
      <c r="F73" s="12">
        <v>46200.916666666664</v>
      </c>
      <c r="G73" s="11" t="s">
        <v>85</v>
      </c>
      <c r="H73" s="11" t="s">
        <v>156</v>
      </c>
      <c r="I73" s="11" t="s">
        <v>152</v>
      </c>
      <c r="J73" s="11" t="s">
        <v>124</v>
      </c>
      <c r="K73" s="13"/>
      <c r="L73" s="13"/>
      <c r="M73" s="14" t="str">
        <f t="shared" si="2"/>
        <v/>
      </c>
      <c r="N73" s="11" t="s">
        <v>83</v>
      </c>
    </row>
    <row r="74" spans="1:14" ht="71.25">
      <c r="A74" s="11">
        <v>73</v>
      </c>
      <c r="B74" s="11" t="s">
        <v>176</v>
      </c>
      <c r="C74" s="11"/>
      <c r="D74" s="12">
        <v>46201.875</v>
      </c>
      <c r="E74" s="11" t="s">
        <v>78</v>
      </c>
      <c r="F74" s="12">
        <v>46201.625</v>
      </c>
      <c r="G74" s="11" t="s">
        <v>79</v>
      </c>
      <c r="H74" s="11" t="s">
        <v>177</v>
      </c>
      <c r="I74" s="11" t="s">
        <v>178</v>
      </c>
      <c r="J74" s="11" t="s">
        <v>97</v>
      </c>
      <c r="K74" s="13"/>
      <c r="L74" s="13"/>
      <c r="M74" s="14" t="str">
        <f t="shared" si="2"/>
        <v/>
      </c>
      <c r="N74" s="11" t="s">
        <v>83</v>
      </c>
    </row>
    <row r="75" spans="1:14" ht="71.25">
      <c r="A75" s="11">
        <v>74</v>
      </c>
      <c r="B75" s="11" t="s">
        <v>176</v>
      </c>
      <c r="C75" s="11"/>
      <c r="D75" s="12">
        <v>46202.791666666664</v>
      </c>
      <c r="E75" s="11" t="s">
        <v>115</v>
      </c>
      <c r="F75" s="12">
        <v>46202.541666666664</v>
      </c>
      <c r="G75" s="11" t="s">
        <v>116</v>
      </c>
      <c r="H75" s="11" t="s">
        <v>179</v>
      </c>
      <c r="I75" s="11" t="s">
        <v>180</v>
      </c>
      <c r="J75" s="11" t="s">
        <v>119</v>
      </c>
      <c r="K75" s="13"/>
      <c r="L75" s="13"/>
      <c r="M75" s="14" t="str">
        <f t="shared" si="2"/>
        <v/>
      </c>
      <c r="N75" s="11" t="s">
        <v>83</v>
      </c>
    </row>
    <row r="76" spans="1:14" ht="71.25">
      <c r="A76" s="11">
        <v>75</v>
      </c>
      <c r="B76" s="11" t="s">
        <v>176</v>
      </c>
      <c r="C76" s="11"/>
      <c r="D76" s="12">
        <v>46202.9375</v>
      </c>
      <c r="E76" s="11" t="s">
        <v>181</v>
      </c>
      <c r="F76" s="12">
        <v>46202.6875</v>
      </c>
      <c r="G76" s="11" t="s">
        <v>182</v>
      </c>
      <c r="H76" s="11" t="s">
        <v>183</v>
      </c>
      <c r="I76" s="11" t="s">
        <v>184</v>
      </c>
      <c r="J76" s="11" t="s">
        <v>109</v>
      </c>
      <c r="K76" s="13"/>
      <c r="L76" s="13"/>
      <c r="M76" s="14" t="str">
        <f t="shared" si="2"/>
        <v/>
      </c>
      <c r="N76" s="11" t="s">
        <v>83</v>
      </c>
    </row>
    <row r="77" spans="1:14" ht="71.25">
      <c r="A77" s="11">
        <v>76</v>
      </c>
      <c r="B77" s="11" t="s">
        <v>176</v>
      </c>
      <c r="C77" s="11"/>
      <c r="D77" s="12">
        <v>46203.125</v>
      </c>
      <c r="E77" s="11" t="s">
        <v>94</v>
      </c>
      <c r="F77" s="12">
        <v>46202.875</v>
      </c>
      <c r="G77" s="11" t="s">
        <v>78</v>
      </c>
      <c r="H77" s="11" t="s">
        <v>185</v>
      </c>
      <c r="I77" s="11" t="s">
        <v>186</v>
      </c>
      <c r="J77" s="11" t="s">
        <v>131</v>
      </c>
      <c r="K77" s="13"/>
      <c r="L77" s="13"/>
      <c r="M77" s="14" t="str">
        <f t="shared" si="2"/>
        <v/>
      </c>
      <c r="N77" s="11" t="s">
        <v>83</v>
      </c>
    </row>
    <row r="78" spans="1:14" ht="71.25">
      <c r="A78" s="11">
        <v>77</v>
      </c>
      <c r="B78" s="11" t="s">
        <v>176</v>
      </c>
      <c r="C78" s="11"/>
      <c r="D78" s="12">
        <v>46203.791666666664</v>
      </c>
      <c r="E78" s="11" t="s">
        <v>115</v>
      </c>
      <c r="F78" s="12">
        <v>46203.541666666664</v>
      </c>
      <c r="G78" s="11" t="s">
        <v>116</v>
      </c>
      <c r="H78" s="11" t="s">
        <v>187</v>
      </c>
      <c r="I78" s="11" t="s">
        <v>188</v>
      </c>
      <c r="J78" s="11" t="s">
        <v>124</v>
      </c>
      <c r="K78" s="13"/>
      <c r="L78" s="13"/>
      <c r="M78" s="14" t="str">
        <f t="shared" si="2"/>
        <v/>
      </c>
      <c r="N78" s="11" t="s">
        <v>83</v>
      </c>
    </row>
    <row r="79" spans="1:14" ht="71.25">
      <c r="A79" s="11">
        <v>78</v>
      </c>
      <c r="B79" s="11" t="s">
        <v>176</v>
      </c>
      <c r="C79" s="11"/>
      <c r="D79" s="12">
        <v>46203.958333333336</v>
      </c>
      <c r="E79" s="11" t="s">
        <v>170</v>
      </c>
      <c r="F79" s="12">
        <v>46203.708333333336</v>
      </c>
      <c r="G79" s="11" t="s">
        <v>173</v>
      </c>
      <c r="H79" s="11" t="s">
        <v>189</v>
      </c>
      <c r="I79" s="11" t="s">
        <v>190</v>
      </c>
      <c r="J79" s="11" t="s">
        <v>106</v>
      </c>
      <c r="K79" s="13"/>
      <c r="L79" s="13"/>
      <c r="M79" s="14" t="str">
        <f t="shared" si="2"/>
        <v/>
      </c>
      <c r="N79" s="11" t="s">
        <v>83</v>
      </c>
    </row>
    <row r="80" spans="1:14" ht="71.25">
      <c r="A80" s="11">
        <v>79</v>
      </c>
      <c r="B80" s="11" t="s">
        <v>176</v>
      </c>
      <c r="C80" s="11"/>
      <c r="D80" s="12">
        <v>46204.125</v>
      </c>
      <c r="E80" s="11" t="s">
        <v>94</v>
      </c>
      <c r="F80" s="12">
        <v>46203.875</v>
      </c>
      <c r="G80" s="11" t="s">
        <v>78</v>
      </c>
      <c r="H80" s="11" t="s">
        <v>191</v>
      </c>
      <c r="I80" s="11" t="s">
        <v>192</v>
      </c>
      <c r="J80" s="11" t="s">
        <v>82</v>
      </c>
      <c r="K80" s="13"/>
      <c r="L80" s="13"/>
      <c r="M80" s="14" t="str">
        <f t="shared" si="2"/>
        <v/>
      </c>
      <c r="N80" s="11" t="s">
        <v>83</v>
      </c>
    </row>
    <row r="81" spans="1:14" ht="71.25">
      <c r="A81" s="11">
        <v>80</v>
      </c>
      <c r="B81" s="11" t="s">
        <v>176</v>
      </c>
      <c r="C81" s="11"/>
      <c r="D81" s="12">
        <v>46204.75</v>
      </c>
      <c r="E81" s="11" t="s">
        <v>103</v>
      </c>
      <c r="F81" s="12">
        <v>46204.5</v>
      </c>
      <c r="G81" s="11" t="s">
        <v>133</v>
      </c>
      <c r="H81" s="11" t="s">
        <v>193</v>
      </c>
      <c r="I81" s="11" t="s">
        <v>194</v>
      </c>
      <c r="J81" s="11" t="s">
        <v>136</v>
      </c>
      <c r="K81" s="13"/>
      <c r="L81" s="13"/>
      <c r="M81" s="14" t="str">
        <f t="shared" si="2"/>
        <v/>
      </c>
      <c r="N81" s="11" t="s">
        <v>83</v>
      </c>
    </row>
    <row r="82" spans="1:14" ht="71.25">
      <c r="A82" s="11">
        <v>81</v>
      </c>
      <c r="B82" s="11" t="s">
        <v>176</v>
      </c>
      <c r="C82" s="11"/>
      <c r="D82" s="12">
        <v>46204.916666666664</v>
      </c>
      <c r="E82" s="11" t="s">
        <v>85</v>
      </c>
      <c r="F82" s="12">
        <v>46204.666666666664</v>
      </c>
      <c r="G82" s="11" t="s">
        <v>121</v>
      </c>
      <c r="H82" s="11" t="s">
        <v>195</v>
      </c>
      <c r="I82" s="11" t="s">
        <v>196</v>
      </c>
      <c r="J82" s="11" t="s">
        <v>140</v>
      </c>
      <c r="K82" s="13"/>
      <c r="L82" s="13"/>
      <c r="M82" s="14" t="str">
        <f t="shared" si="2"/>
        <v/>
      </c>
      <c r="N82" s="11" t="s">
        <v>83</v>
      </c>
    </row>
    <row r="83" spans="1:14" ht="71.25">
      <c r="A83" s="11">
        <v>82</v>
      </c>
      <c r="B83" s="11" t="s">
        <v>176</v>
      </c>
      <c r="C83" s="11"/>
      <c r="D83" s="12">
        <v>46205.083333333336</v>
      </c>
      <c r="E83" s="11" t="s">
        <v>171</v>
      </c>
      <c r="F83" s="12">
        <v>46204.833333333336</v>
      </c>
      <c r="G83" s="11" t="s">
        <v>172</v>
      </c>
      <c r="H83" s="11" t="s">
        <v>197</v>
      </c>
      <c r="I83" s="11" t="s">
        <v>198</v>
      </c>
      <c r="J83" s="11" t="s">
        <v>100</v>
      </c>
      <c r="K83" s="13"/>
      <c r="L83" s="13"/>
      <c r="M83" s="14" t="str">
        <f t="shared" si="2"/>
        <v/>
      </c>
      <c r="N83" s="11" t="s">
        <v>83</v>
      </c>
    </row>
    <row r="84" spans="1:14" ht="71.25">
      <c r="A84" s="11">
        <v>83</v>
      </c>
      <c r="B84" s="11" t="s">
        <v>176</v>
      </c>
      <c r="C84" s="11"/>
      <c r="D84" s="12">
        <v>46205.875</v>
      </c>
      <c r="E84" s="11" t="s">
        <v>78</v>
      </c>
      <c r="F84" s="12">
        <v>46205.625</v>
      </c>
      <c r="G84" s="11" t="s">
        <v>79</v>
      </c>
      <c r="H84" s="11" t="s">
        <v>199</v>
      </c>
      <c r="I84" s="11" t="s">
        <v>200</v>
      </c>
      <c r="J84" s="11" t="s">
        <v>97</v>
      </c>
      <c r="K84" s="13"/>
      <c r="L84" s="13"/>
      <c r="M84" s="14" t="str">
        <f t="shared" si="2"/>
        <v/>
      </c>
      <c r="N84" s="11" t="s">
        <v>83</v>
      </c>
    </row>
    <row r="85" spans="1:14" ht="71.25">
      <c r="A85" s="11">
        <v>84</v>
      </c>
      <c r="B85" s="11" t="s">
        <v>176</v>
      </c>
      <c r="C85" s="11"/>
      <c r="D85" s="12">
        <v>46206.041666666664</v>
      </c>
      <c r="E85" s="11" t="s">
        <v>125</v>
      </c>
      <c r="F85" s="12">
        <v>46205.791666666664</v>
      </c>
      <c r="G85" s="11" t="s">
        <v>115</v>
      </c>
      <c r="H85" s="11" t="s">
        <v>201</v>
      </c>
      <c r="I85" s="11" t="s">
        <v>202</v>
      </c>
      <c r="J85" s="11" t="s">
        <v>92</v>
      </c>
      <c r="K85" s="13"/>
      <c r="L85" s="13"/>
      <c r="M85" s="14" t="str">
        <f t="shared" si="2"/>
        <v/>
      </c>
      <c r="N85" s="11" t="s">
        <v>83</v>
      </c>
    </row>
    <row r="86" spans="1:14" ht="71.25">
      <c r="A86" s="11">
        <v>85</v>
      </c>
      <c r="B86" s="11" t="s">
        <v>176</v>
      </c>
      <c r="C86" s="11"/>
      <c r="D86" s="12">
        <v>46206.208333333336</v>
      </c>
      <c r="E86" s="11" t="s">
        <v>169</v>
      </c>
      <c r="F86" s="12">
        <v>46205.958333333336</v>
      </c>
      <c r="G86" s="11" t="s">
        <v>170</v>
      </c>
      <c r="H86" s="11" t="s">
        <v>203</v>
      </c>
      <c r="I86" s="11" t="s">
        <v>204</v>
      </c>
      <c r="J86" s="11" t="s">
        <v>113</v>
      </c>
      <c r="K86" s="13"/>
      <c r="L86" s="13"/>
      <c r="M86" s="14" t="str">
        <f t="shared" si="2"/>
        <v/>
      </c>
      <c r="N86" s="11" t="s">
        <v>83</v>
      </c>
    </row>
    <row r="87" spans="1:14" ht="71.25">
      <c r="A87" s="11">
        <v>86</v>
      </c>
      <c r="B87" s="11" t="s">
        <v>176</v>
      </c>
      <c r="C87" s="11"/>
      <c r="D87" s="12">
        <v>46206.833333333336</v>
      </c>
      <c r="E87" s="11" t="s">
        <v>172</v>
      </c>
      <c r="F87" s="12">
        <v>46206.583333333336</v>
      </c>
      <c r="G87" s="11" t="s">
        <v>205</v>
      </c>
      <c r="H87" s="11" t="s">
        <v>206</v>
      </c>
      <c r="I87" s="11" t="s">
        <v>207</v>
      </c>
      <c r="J87" s="11" t="s">
        <v>124</v>
      </c>
      <c r="K87" s="13"/>
      <c r="L87" s="13"/>
      <c r="M87" s="14" t="str">
        <f t="shared" si="2"/>
        <v/>
      </c>
      <c r="N87" s="11" t="s">
        <v>83</v>
      </c>
    </row>
    <row r="88" spans="1:14" ht="71.25">
      <c r="A88" s="11">
        <v>87</v>
      </c>
      <c r="B88" s="11" t="s">
        <v>176</v>
      </c>
      <c r="C88" s="11"/>
      <c r="D88" s="12">
        <v>46207</v>
      </c>
      <c r="E88" s="11" t="s">
        <v>102</v>
      </c>
      <c r="F88" s="12">
        <v>46206.75</v>
      </c>
      <c r="G88" s="11" t="s">
        <v>103</v>
      </c>
      <c r="H88" s="11" t="s">
        <v>208</v>
      </c>
      <c r="I88" s="11" t="s">
        <v>209</v>
      </c>
      <c r="J88" s="11" t="s">
        <v>143</v>
      </c>
      <c r="K88" s="13"/>
      <c r="L88" s="13"/>
      <c r="M88" s="14" t="str">
        <f t="shared" si="2"/>
        <v/>
      </c>
      <c r="N88" s="11" t="s">
        <v>83</v>
      </c>
    </row>
    <row r="89" spans="1:14" ht="71.25">
      <c r="A89" s="11">
        <v>88</v>
      </c>
      <c r="B89" s="11" t="s">
        <v>176</v>
      </c>
      <c r="C89" s="11"/>
      <c r="D89" s="12">
        <v>46207.145833333336</v>
      </c>
      <c r="E89" s="11" t="s">
        <v>210</v>
      </c>
      <c r="F89" s="12">
        <v>46206.895833333336</v>
      </c>
      <c r="G89" s="11" t="s">
        <v>211</v>
      </c>
      <c r="H89" s="11" t="s">
        <v>212</v>
      </c>
      <c r="I89" s="11" t="s">
        <v>213</v>
      </c>
      <c r="J89" s="11" t="s">
        <v>154</v>
      </c>
      <c r="K89" s="13"/>
      <c r="L89" s="13"/>
      <c r="M89" s="14" t="str">
        <f t="shared" si="2"/>
        <v/>
      </c>
      <c r="N89" s="11" t="s">
        <v>83</v>
      </c>
    </row>
    <row r="90" spans="1:14" ht="71.25">
      <c r="A90" s="11">
        <v>89</v>
      </c>
      <c r="B90" s="11" t="s">
        <v>214</v>
      </c>
      <c r="C90" s="11"/>
      <c r="D90" s="12">
        <v>46207.791666666664</v>
      </c>
      <c r="E90" s="11" t="s">
        <v>115</v>
      </c>
      <c r="F90" s="12">
        <v>46207.541666666664</v>
      </c>
      <c r="G90" s="11" t="s">
        <v>116</v>
      </c>
      <c r="H90" s="11" t="s">
        <v>215</v>
      </c>
      <c r="I90" s="11" t="s">
        <v>216</v>
      </c>
      <c r="J90" s="11" t="s">
        <v>119</v>
      </c>
      <c r="K90" s="13"/>
      <c r="L90" s="13"/>
      <c r="M90" s="14" t="str">
        <f t="shared" si="2"/>
        <v/>
      </c>
      <c r="N90" s="11" t="s">
        <v>83</v>
      </c>
    </row>
    <row r="91" spans="1:14" ht="71.25">
      <c r="A91" s="11">
        <v>90</v>
      </c>
      <c r="B91" s="11" t="s">
        <v>214</v>
      </c>
      <c r="C91" s="11"/>
      <c r="D91" s="12">
        <v>46207.958333333336</v>
      </c>
      <c r="E91" s="11" t="s">
        <v>170</v>
      </c>
      <c r="F91" s="12">
        <v>46207.708333333336</v>
      </c>
      <c r="G91" s="11" t="s">
        <v>173</v>
      </c>
      <c r="H91" s="11" t="s">
        <v>217</v>
      </c>
      <c r="I91" s="11" t="s">
        <v>218</v>
      </c>
      <c r="J91" s="11" t="s">
        <v>128</v>
      </c>
      <c r="K91" s="13"/>
      <c r="L91" s="13"/>
      <c r="M91" s="14" t="str">
        <f t="shared" si="2"/>
        <v/>
      </c>
      <c r="N91" s="11" t="s">
        <v>83</v>
      </c>
    </row>
    <row r="92" spans="1:14" ht="71.25">
      <c r="A92" s="11">
        <v>91</v>
      </c>
      <c r="B92" s="11" t="s">
        <v>214</v>
      </c>
      <c r="C92" s="11"/>
      <c r="D92" s="12">
        <v>46208.916666666664</v>
      </c>
      <c r="E92" s="11" t="s">
        <v>85</v>
      </c>
      <c r="F92" s="12">
        <v>46208.666666666664</v>
      </c>
      <c r="G92" s="11" t="s">
        <v>121</v>
      </c>
      <c r="H92" s="11" t="s">
        <v>219</v>
      </c>
      <c r="I92" s="11" t="s">
        <v>220</v>
      </c>
      <c r="J92" s="11" t="s">
        <v>106</v>
      </c>
      <c r="K92" s="13"/>
      <c r="L92" s="13"/>
      <c r="M92" s="14" t="str">
        <f t="shared" si="2"/>
        <v/>
      </c>
      <c r="N92" s="11" t="s">
        <v>83</v>
      </c>
    </row>
    <row r="93" spans="1:14" ht="71.25">
      <c r="A93" s="11">
        <v>92</v>
      </c>
      <c r="B93" s="11" t="s">
        <v>214</v>
      </c>
      <c r="C93" s="11"/>
      <c r="D93" s="12">
        <v>46209.083333333336</v>
      </c>
      <c r="E93" s="11" t="s">
        <v>171</v>
      </c>
      <c r="F93" s="12">
        <v>46208.833333333336</v>
      </c>
      <c r="G93" s="11" t="s">
        <v>172</v>
      </c>
      <c r="H93" s="11" t="s">
        <v>221</v>
      </c>
      <c r="I93" s="11" t="s">
        <v>222</v>
      </c>
      <c r="J93" s="11" t="s">
        <v>82</v>
      </c>
      <c r="K93" s="13"/>
      <c r="L93" s="13"/>
      <c r="M93" s="14" t="str">
        <f t="shared" si="2"/>
        <v/>
      </c>
      <c r="N93" s="11" t="s">
        <v>83</v>
      </c>
    </row>
    <row r="94" spans="1:14" ht="71.25">
      <c r="A94" s="11">
        <v>93</v>
      </c>
      <c r="B94" s="11" t="s">
        <v>214</v>
      </c>
      <c r="C94" s="11"/>
      <c r="D94" s="12">
        <v>46209.875</v>
      </c>
      <c r="E94" s="11" t="s">
        <v>78</v>
      </c>
      <c r="F94" s="12">
        <v>46209.625</v>
      </c>
      <c r="G94" s="11" t="s">
        <v>79</v>
      </c>
      <c r="H94" s="11" t="s">
        <v>223</v>
      </c>
      <c r="I94" s="11" t="s">
        <v>224</v>
      </c>
      <c r="J94" s="11" t="s">
        <v>124</v>
      </c>
      <c r="K94" s="13"/>
      <c r="L94" s="13"/>
      <c r="M94" s="14" t="str">
        <f t="shared" si="2"/>
        <v/>
      </c>
      <c r="N94" s="11" t="s">
        <v>83</v>
      </c>
    </row>
    <row r="95" spans="1:14" ht="71.25">
      <c r="A95" s="11">
        <v>94</v>
      </c>
      <c r="B95" s="11" t="s">
        <v>214</v>
      </c>
      <c r="C95" s="11"/>
      <c r="D95" s="12">
        <v>46210.083333333336</v>
      </c>
      <c r="E95" s="11" t="s">
        <v>171</v>
      </c>
      <c r="F95" s="12">
        <v>46209.833333333336</v>
      </c>
      <c r="G95" s="11" t="s">
        <v>172</v>
      </c>
      <c r="H95" s="11" t="s">
        <v>225</v>
      </c>
      <c r="I95" s="11" t="s">
        <v>226</v>
      </c>
      <c r="J95" s="11" t="s">
        <v>140</v>
      </c>
      <c r="K95" s="13"/>
      <c r="L95" s="13"/>
      <c r="M95" s="14" t="str">
        <f t="shared" si="2"/>
        <v/>
      </c>
      <c r="N95" s="11" t="s">
        <v>83</v>
      </c>
    </row>
    <row r="96" spans="1:14" ht="71.25">
      <c r="A96" s="11">
        <v>95</v>
      </c>
      <c r="B96" s="11" t="s">
        <v>214</v>
      </c>
      <c r="C96" s="11"/>
      <c r="D96" s="12">
        <v>46210.75</v>
      </c>
      <c r="E96" s="11" t="s">
        <v>103</v>
      </c>
      <c r="F96" s="12">
        <v>46210.5</v>
      </c>
      <c r="G96" s="11" t="s">
        <v>133</v>
      </c>
      <c r="H96" s="11" t="s">
        <v>227</v>
      </c>
      <c r="I96" s="11" t="s">
        <v>228</v>
      </c>
      <c r="J96" s="11" t="s">
        <v>136</v>
      </c>
      <c r="K96" s="13"/>
      <c r="L96" s="13"/>
      <c r="M96" s="14" t="str">
        <f t="shared" si="2"/>
        <v/>
      </c>
      <c r="N96" s="11" t="s">
        <v>83</v>
      </c>
    </row>
    <row r="97" spans="1:14" ht="71.25">
      <c r="A97" s="11">
        <v>96</v>
      </c>
      <c r="B97" s="11" t="s">
        <v>214</v>
      </c>
      <c r="C97" s="11"/>
      <c r="D97" s="12">
        <v>46210.916666666664</v>
      </c>
      <c r="E97" s="11" t="s">
        <v>85</v>
      </c>
      <c r="F97" s="12">
        <v>46210.666666666664</v>
      </c>
      <c r="G97" s="11" t="s">
        <v>121</v>
      </c>
      <c r="H97" s="11" t="s">
        <v>229</v>
      </c>
      <c r="I97" s="11" t="s">
        <v>230</v>
      </c>
      <c r="J97" s="11" t="s">
        <v>113</v>
      </c>
      <c r="K97" s="13"/>
      <c r="L97" s="13"/>
      <c r="M97" s="14" t="str">
        <f t="shared" si="2"/>
        <v/>
      </c>
      <c r="N97" s="11" t="s">
        <v>83</v>
      </c>
    </row>
    <row r="98" spans="1:14" ht="71.25">
      <c r="A98" s="11">
        <v>97</v>
      </c>
      <c r="B98" s="11" t="s">
        <v>231</v>
      </c>
      <c r="C98" s="11"/>
      <c r="D98" s="12">
        <v>46212.916666666664</v>
      </c>
      <c r="E98" s="11" t="s">
        <v>85</v>
      </c>
      <c r="F98" s="12">
        <v>46212.666666666664</v>
      </c>
      <c r="G98" s="11" t="s">
        <v>121</v>
      </c>
      <c r="H98" s="11" t="s">
        <v>232</v>
      </c>
      <c r="I98" s="11" t="s">
        <v>233</v>
      </c>
      <c r="J98" s="11" t="s">
        <v>109</v>
      </c>
      <c r="K98" s="13"/>
      <c r="L98" s="13"/>
      <c r="M98" s="14" t="str">
        <f t="shared" ref="M98:M105" si="3">IF(OR(K98="",L98=""),"",IF(K98&gt;L98,"1",IF(K98=L98,"X","2")))</f>
        <v/>
      </c>
      <c r="N98" s="11" t="s">
        <v>83</v>
      </c>
    </row>
    <row r="99" spans="1:14" ht="71.25">
      <c r="A99" s="11">
        <v>98</v>
      </c>
      <c r="B99" s="11" t="s">
        <v>231</v>
      </c>
      <c r="C99" s="11"/>
      <c r="D99" s="12">
        <v>46213.875</v>
      </c>
      <c r="E99" s="11" t="s">
        <v>78</v>
      </c>
      <c r="F99" s="12">
        <v>46213.625</v>
      </c>
      <c r="G99" s="11" t="s">
        <v>79</v>
      </c>
      <c r="H99" s="11" t="s">
        <v>234</v>
      </c>
      <c r="I99" s="11" t="s">
        <v>235</v>
      </c>
      <c r="J99" s="11" t="s">
        <v>97</v>
      </c>
      <c r="K99" s="13"/>
      <c r="L99" s="13"/>
      <c r="M99" s="14" t="str">
        <f t="shared" si="3"/>
        <v/>
      </c>
      <c r="N99" s="11" t="s">
        <v>83</v>
      </c>
    </row>
    <row r="100" spans="1:14" ht="71.25">
      <c r="A100" s="11">
        <v>99</v>
      </c>
      <c r="B100" s="11" t="s">
        <v>231</v>
      </c>
      <c r="C100" s="11"/>
      <c r="D100" s="12">
        <v>46214.958333333336</v>
      </c>
      <c r="E100" s="11" t="s">
        <v>170</v>
      </c>
      <c r="F100" s="12">
        <v>46214.708333333336</v>
      </c>
      <c r="G100" s="11" t="s">
        <v>173</v>
      </c>
      <c r="H100" s="11" t="s">
        <v>236</v>
      </c>
      <c r="I100" s="11" t="s">
        <v>237</v>
      </c>
      <c r="J100" s="11" t="s">
        <v>143</v>
      </c>
      <c r="K100" s="13"/>
      <c r="L100" s="13"/>
      <c r="M100" s="14" t="str">
        <f t="shared" si="3"/>
        <v/>
      </c>
      <c r="N100" s="11" t="s">
        <v>83</v>
      </c>
    </row>
    <row r="101" spans="1:14" ht="71.25">
      <c r="A101" s="11">
        <v>100</v>
      </c>
      <c r="B101" s="11" t="s">
        <v>231</v>
      </c>
      <c r="C101" s="11"/>
      <c r="D101" s="12">
        <v>46215.125</v>
      </c>
      <c r="E101" s="11" t="s">
        <v>94</v>
      </c>
      <c r="F101" s="12">
        <v>46214.875</v>
      </c>
      <c r="G101" s="11" t="s">
        <v>78</v>
      </c>
      <c r="H101" s="11" t="s">
        <v>238</v>
      </c>
      <c r="I101" s="11" t="s">
        <v>239</v>
      </c>
      <c r="J101" s="11" t="s">
        <v>154</v>
      </c>
      <c r="K101" s="13"/>
      <c r="L101" s="13"/>
      <c r="M101" s="14" t="str">
        <f t="shared" si="3"/>
        <v/>
      </c>
      <c r="N101" s="11" t="s">
        <v>83</v>
      </c>
    </row>
    <row r="102" spans="1:14" ht="71.25">
      <c r="A102" s="11">
        <v>101</v>
      </c>
      <c r="B102" s="11" t="s">
        <v>240</v>
      </c>
      <c r="C102" s="11"/>
      <c r="D102" s="12">
        <v>46217.875</v>
      </c>
      <c r="E102" s="11" t="s">
        <v>78</v>
      </c>
      <c r="F102" s="12">
        <v>46217.625</v>
      </c>
      <c r="G102" s="11" t="s">
        <v>79</v>
      </c>
      <c r="H102" s="11" t="s">
        <v>241</v>
      </c>
      <c r="I102" s="11" t="s">
        <v>242</v>
      </c>
      <c r="J102" s="11" t="s">
        <v>243</v>
      </c>
      <c r="K102" s="13"/>
      <c r="L102" s="13"/>
      <c r="M102" s="14" t="str">
        <f t="shared" si="3"/>
        <v/>
      </c>
      <c r="N102" s="11" t="s">
        <v>83</v>
      </c>
    </row>
    <row r="103" spans="1:14" ht="71.25">
      <c r="A103" s="11">
        <v>102</v>
      </c>
      <c r="B103" s="11" t="s">
        <v>240</v>
      </c>
      <c r="C103" s="11"/>
      <c r="D103" s="12">
        <v>46218.875</v>
      </c>
      <c r="E103" s="11" t="s">
        <v>78</v>
      </c>
      <c r="F103" s="12">
        <v>46218.625</v>
      </c>
      <c r="G103" s="11" t="s">
        <v>79</v>
      </c>
      <c r="H103" s="11" t="s">
        <v>244</v>
      </c>
      <c r="I103" s="11" t="s">
        <v>245</v>
      </c>
      <c r="J103" s="11" t="s">
        <v>136</v>
      </c>
      <c r="K103" s="13"/>
      <c r="L103" s="13"/>
      <c r="M103" s="14" t="str">
        <f t="shared" si="3"/>
        <v/>
      </c>
      <c r="N103" s="11" t="s">
        <v>83</v>
      </c>
    </row>
    <row r="104" spans="1:14" ht="71.25">
      <c r="A104" s="11">
        <v>103</v>
      </c>
      <c r="B104" s="11" t="s">
        <v>246</v>
      </c>
      <c r="C104" s="11"/>
      <c r="D104" s="12">
        <v>46221.958333333336</v>
      </c>
      <c r="E104" s="11" t="s">
        <v>170</v>
      </c>
      <c r="F104" s="12">
        <v>46221.708333333336</v>
      </c>
      <c r="G104" s="11" t="s">
        <v>173</v>
      </c>
      <c r="H104" s="11" t="s">
        <v>247</v>
      </c>
      <c r="I104" s="11" t="s">
        <v>248</v>
      </c>
      <c r="J104" s="11" t="s">
        <v>143</v>
      </c>
      <c r="K104" s="13"/>
      <c r="L104" s="13"/>
      <c r="M104" s="14" t="str">
        <f t="shared" si="3"/>
        <v/>
      </c>
      <c r="N104" s="11" t="s">
        <v>83</v>
      </c>
    </row>
    <row r="105" spans="1:14" ht="71.25">
      <c r="A105" s="11">
        <v>104</v>
      </c>
      <c r="B105" s="11" t="s">
        <v>249</v>
      </c>
      <c r="C105" s="11"/>
      <c r="D105" s="12">
        <v>46222.875</v>
      </c>
      <c r="E105" s="11" t="s">
        <v>78</v>
      </c>
      <c r="F105" s="12">
        <v>46222.625</v>
      </c>
      <c r="G105" s="11" t="s">
        <v>79</v>
      </c>
      <c r="H105" s="11" t="s">
        <v>250</v>
      </c>
      <c r="I105" s="11" t="s">
        <v>251</v>
      </c>
      <c r="J105" s="11" t="s">
        <v>252</v>
      </c>
      <c r="K105" s="13"/>
      <c r="L105" s="13"/>
      <c r="M105" s="14" t="str">
        <f t="shared" si="3"/>
        <v/>
      </c>
      <c r="N105" s="11" t="s">
        <v>83</v>
      </c>
    </row>
    <row r="106" spans="1:1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</sheetData>
  <conditionalFormatting sqref="K2:L105">
    <cfRule type="expression" dxfId="64" priority="1">
      <formula>AND(K2&lt;&gt;"",L2&lt;&gt;"")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"/>
  <sheetViews>
    <sheetView workbookViewId="0">
      <selection activeCell="K21" sqref="K20:K21"/>
    </sheetView>
  </sheetViews>
  <sheetFormatPr defaultRowHeight="14.25"/>
  <cols>
    <col min="1" max="1" width="28" customWidth="1"/>
    <col min="2" max="2" width="90" customWidth="1"/>
  </cols>
  <sheetData>
    <row r="1" spans="1:14" ht="20.25">
      <c r="A1" s="28" t="s">
        <v>253</v>
      </c>
      <c r="B1" s="26"/>
      <c r="C1" s="26"/>
      <c r="D1" s="26"/>
      <c r="E1" s="26"/>
      <c r="F1" s="9"/>
      <c r="G1" s="9"/>
      <c r="H1" s="9"/>
      <c r="I1" s="9"/>
      <c r="J1" s="9"/>
      <c r="K1" s="9"/>
      <c r="L1" s="9"/>
      <c r="M1" s="9"/>
      <c r="N1" s="9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>
      <c r="A3" s="1" t="s">
        <v>254</v>
      </c>
      <c r="B3" s="1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5">
      <c r="A4" s="2" t="s">
        <v>255</v>
      </c>
      <c r="B4" s="10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5">
      <c r="A5" s="2" t="s">
        <v>256</v>
      </c>
      <c r="B5" s="10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5">
      <c r="A6" s="2" t="s">
        <v>257</v>
      </c>
      <c r="B6" s="10">
        <v>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">
      <c r="A7" s="2" t="s">
        <v>258</v>
      </c>
      <c r="B7" s="10">
        <v>104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ht="15">
      <c r="A9" s="27" t="s">
        <v>259</v>
      </c>
      <c r="B9" s="26"/>
      <c r="C9" s="26"/>
      <c r="D9" s="26"/>
      <c r="E9" s="26"/>
      <c r="F9" s="9"/>
      <c r="G9" s="9"/>
      <c r="H9" s="9"/>
      <c r="I9" s="9"/>
      <c r="J9" s="9"/>
      <c r="K9" s="9"/>
      <c r="L9" s="9"/>
      <c r="M9" s="9"/>
      <c r="N9" s="9"/>
    </row>
    <row r="10" spans="1:14">
      <c r="A10" s="9" t="s">
        <v>260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>
      <c r="A11" s="9" t="s">
        <v>261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>
      <c r="A12" s="9" t="s">
        <v>262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9" t="s">
        <v>263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>
      <c r="A14" s="9" t="s">
        <v>264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A15" s="9" t="s">
        <v>265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5">
      <c r="A16" s="15" t="s">
        <v>266</v>
      </c>
      <c r="B16" s="9" t="s">
        <v>83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9"/>
      <c r="B17" s="9" t="s">
        <v>267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</sheetData>
  <mergeCells count="2">
    <mergeCell ref="A1:E1"/>
    <mergeCell ref="A9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0"/>
  <sheetViews>
    <sheetView workbookViewId="0">
      <selection activeCell="I22" sqref="I22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270</v>
      </c>
      <c r="C2" s="31"/>
      <c r="D2" s="31"/>
      <c r="F2" s="2" t="s">
        <v>271</v>
      </c>
      <c r="G2" s="7">
        <f>SUM(L7:L110)</f>
        <v>3</v>
      </c>
      <c r="H2" s="7"/>
      <c r="I2" s="7" t="s">
        <v>7</v>
      </c>
      <c r="J2" s="7">
        <f>SUMPRODUCT(--(I7:I110=Matchschema!$K$2:$K$105),--(J7:J110=Matchschema!$L$2:$L$105),--(Matchschema!$K$2:$K$105&lt;&gt;""))</f>
        <v>1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>
        <v>2</v>
      </c>
      <c r="J7" s="5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3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>
        <v>1</v>
      </c>
      <c r="J8" s="5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>
        <v>0</v>
      </c>
      <c r="J9" s="5">
        <v>1</v>
      </c>
      <c r="K9" s="6" t="str">
        <f t="shared" si="0"/>
        <v>2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>
        <v>2</v>
      </c>
      <c r="J10" s="5">
        <v>2</v>
      </c>
      <c r="K10" s="6" t="str">
        <f t="shared" si="0"/>
        <v>X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>
        <v>0</v>
      </c>
      <c r="J11" s="5">
        <v>3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>
        <v>3</v>
      </c>
      <c r="J12" s="5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>
        <v>0</v>
      </c>
      <c r="J13" s="5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>
        <v>1</v>
      </c>
      <c r="J14" s="5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>
        <v>4</v>
      </c>
      <c r="J15" s="5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>
        <v>2</v>
      </c>
      <c r="J16" s="5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>
        <v>0</v>
      </c>
      <c r="J17" s="5">
        <v>1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>
        <v>1</v>
      </c>
      <c r="J18" s="5">
        <v>1</v>
      </c>
      <c r="K18" s="6" t="str">
        <f t="shared" si="0"/>
        <v>X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>
        <v>4</v>
      </c>
      <c r="J19" s="5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>
        <v>2</v>
      </c>
      <c r="J20" s="5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>
        <v>1</v>
      </c>
      <c r="J21" s="5">
        <v>3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>
        <v>0</v>
      </c>
      <c r="J22" s="5">
        <v>0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>
        <v>2</v>
      </c>
      <c r="J23" s="5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>
        <v>0</v>
      </c>
      <c r="J24" s="5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>
        <v>2</v>
      </c>
      <c r="J25" s="5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>
        <v>1</v>
      </c>
      <c r="J26" s="5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>
        <v>3</v>
      </c>
      <c r="J27" s="5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>
        <v>1</v>
      </c>
      <c r="J28" s="5">
        <v>0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>
        <v>2</v>
      </c>
      <c r="J29" s="5">
        <v>0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>
        <v>0</v>
      </c>
      <c r="J30" s="5">
        <v>3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>
        <v>1</v>
      </c>
      <c r="J31" s="5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>
        <v>2</v>
      </c>
      <c r="J32" s="5">
        <v>2</v>
      </c>
      <c r="K32" s="6" t="str">
        <f t="shared" si="0"/>
        <v>X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>
        <v>2</v>
      </c>
      <c r="J33" s="5">
        <v>1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>
        <v>2</v>
      </c>
      <c r="J34" s="5">
        <v>0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>
        <v>2</v>
      </c>
      <c r="J35" s="5">
        <v>0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>
        <v>1</v>
      </c>
      <c r="J36" s="5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>
        <v>4</v>
      </c>
      <c r="J37" s="5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>
        <v>1</v>
      </c>
      <c r="J38" s="5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>
        <v>2</v>
      </c>
      <c r="J39" s="5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>
        <v>3</v>
      </c>
      <c r="J40" s="5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>
        <v>2</v>
      </c>
      <c r="J41" s="5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>
        <v>1</v>
      </c>
      <c r="J42" s="5">
        <v>1</v>
      </c>
      <c r="K42" s="6" t="str">
        <f t="shared" si="1"/>
        <v>X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>
        <v>3</v>
      </c>
      <c r="J43" s="5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>
        <v>2</v>
      </c>
      <c r="J44" s="5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>
        <v>3</v>
      </c>
      <c r="J45" s="5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>
        <v>0</v>
      </c>
      <c r="J46" s="5">
        <v>0</v>
      </c>
      <c r="K46" s="6" t="str">
        <f t="shared" si="1"/>
        <v>X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>
        <v>2</v>
      </c>
      <c r="J47" s="5">
        <v>0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>
        <v>2</v>
      </c>
      <c r="J48" s="5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>
        <v>2</v>
      </c>
      <c r="J49" s="5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>
        <v>0</v>
      </c>
      <c r="J50" s="5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>
        <v>3</v>
      </c>
      <c r="J51" s="5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>
        <v>2</v>
      </c>
      <c r="J52" s="5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>
        <v>0</v>
      </c>
      <c r="J53" s="5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>
        <v>2</v>
      </c>
      <c r="J54" s="5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>
        <v>3</v>
      </c>
      <c r="J55" s="5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>
        <v>1</v>
      </c>
      <c r="J56" s="5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>
        <v>0</v>
      </c>
      <c r="J57" s="5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>
        <v>2</v>
      </c>
      <c r="J58" s="5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>
        <v>0</v>
      </c>
      <c r="J59" s="5">
        <v>1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>
        <v>1</v>
      </c>
      <c r="J60" s="5">
        <v>1</v>
      </c>
      <c r="K60" s="6" t="str">
        <f t="shared" si="1"/>
        <v>X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>
        <v>0</v>
      </c>
      <c r="J61" s="5">
        <v>0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>
        <v>1</v>
      </c>
      <c r="J62" s="5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>
        <v>0</v>
      </c>
      <c r="J63" s="5">
        <v>1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>
        <v>0</v>
      </c>
      <c r="J64" s="5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>
        <v>1</v>
      </c>
      <c r="J65" s="5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>
        <v>2</v>
      </c>
      <c r="J66" s="5">
        <v>1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>
        <v>0</v>
      </c>
      <c r="J67" s="5">
        <v>0</v>
      </c>
      <c r="K67" s="6" t="str">
        <f t="shared" si="1"/>
        <v>X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>
        <v>1</v>
      </c>
      <c r="J68" s="5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>
        <v>0</v>
      </c>
      <c r="J69" s="5">
        <v>2</v>
      </c>
      <c r="K69" s="6" t="str">
        <f t="shared" si="1"/>
        <v>2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>
        <v>1</v>
      </c>
      <c r="J70" s="5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>
        <v>0</v>
      </c>
      <c r="J71" s="5">
        <v>0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>
        <v>0</v>
      </c>
      <c r="J72" s="5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>
        <v>0</v>
      </c>
      <c r="J73" s="5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>
        <v>1</v>
      </c>
      <c r="J74" s="5">
        <v>1</v>
      </c>
      <c r="K74" s="6" t="str">
        <f t="shared" si="2"/>
        <v>X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>
        <v>1</v>
      </c>
      <c r="J75" s="5">
        <v>1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>
        <v>2</v>
      </c>
      <c r="J76" s="5">
        <v>1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>
        <v>2</v>
      </c>
      <c r="J77" s="5">
        <v>2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>
        <v>0</v>
      </c>
      <c r="J78" s="5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>
        <v>2</v>
      </c>
      <c r="J79" s="5">
        <v>2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>
        <v>0</v>
      </c>
      <c r="J80" s="5">
        <v>1</v>
      </c>
      <c r="K80" s="6" t="str">
        <f t="shared" si="2"/>
        <v>2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>
        <v>1</v>
      </c>
      <c r="J81" s="5">
        <v>1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>
        <v>1</v>
      </c>
      <c r="J82" s="5">
        <v>0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>
        <v>1</v>
      </c>
      <c r="J83" s="5">
        <v>1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>
        <v>2</v>
      </c>
      <c r="J84" s="5">
        <v>1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>
        <v>3</v>
      </c>
      <c r="J85" s="5">
        <v>0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>
        <v>2</v>
      </c>
      <c r="J86" s="5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>
        <v>2</v>
      </c>
      <c r="J87" s="5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>
        <v>2</v>
      </c>
      <c r="J88" s="5">
        <v>0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>
        <v>2</v>
      </c>
      <c r="J89" s="5">
        <v>1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>
        <v>1</v>
      </c>
      <c r="J90" s="5">
        <v>1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>
        <v>3</v>
      </c>
      <c r="J91" s="5">
        <v>1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>
        <v>0</v>
      </c>
      <c r="J92" s="5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>
        <v>2</v>
      </c>
      <c r="J93" s="5">
        <v>0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>
        <v>3</v>
      </c>
      <c r="J94" s="5">
        <v>1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>
        <v>1</v>
      </c>
      <c r="J95" s="5">
        <v>1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>
        <v>2</v>
      </c>
      <c r="J96" s="5">
        <v>1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>
        <v>1</v>
      </c>
      <c r="J97" s="5">
        <v>1</v>
      </c>
      <c r="K97" s="6" t="str">
        <f t="shared" si="2"/>
        <v>X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>
        <v>0</v>
      </c>
      <c r="J98" s="5">
        <v>0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>
        <v>1</v>
      </c>
      <c r="J99" s="5">
        <v>1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>
        <v>0</v>
      </c>
      <c r="J100" s="5">
        <v>1</v>
      </c>
      <c r="K100" s="6" t="str">
        <f t="shared" si="2"/>
        <v>2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>
        <v>2</v>
      </c>
      <c r="J101" s="5">
        <v>2</v>
      </c>
      <c r="K101" s="6" t="str">
        <f t="shared" si="2"/>
        <v>X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>
        <v>1</v>
      </c>
      <c r="J102" s="5">
        <v>0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>
        <v>2</v>
      </c>
      <c r="J103" s="5">
        <v>2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>
        <v>0</v>
      </c>
      <c r="J104" s="5">
        <v>1</v>
      </c>
      <c r="K104" s="6" t="str">
        <f t="shared" si="3"/>
        <v>2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>
        <v>2</v>
      </c>
      <c r="J105" s="5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>
        <v>1</v>
      </c>
      <c r="J106" s="5">
        <v>2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>
        <v>3</v>
      </c>
      <c r="J107" s="5">
        <v>1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>
        <v>2</v>
      </c>
      <c r="J108" s="5">
        <v>2</v>
      </c>
      <c r="K108" s="6" t="str">
        <f t="shared" si="3"/>
        <v>X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>
        <v>3</v>
      </c>
      <c r="J109" s="5">
        <v>0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>
        <v>1</v>
      </c>
      <c r="J110" s="5">
        <v>1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ys4f0Y1zg2iBbxSuwmgPzUGaTfzHsKrOnDZawzrC2lhbYboMzCMvm77Np5MRNTU9rVx0cUylsl3Ueos/jtzqlA==" saltValue="cNnkMWYo4T3Pz4hWP9ey+Q==" spinCount="100000" sheet="1" objects="1" scenarios="1"/>
  <mergeCells count="2">
    <mergeCell ref="A1:M1"/>
    <mergeCell ref="B2:D2"/>
  </mergeCells>
  <dataValidations count="1">
    <dataValidation sqref="I7:J110" xr:uid="{00000000-0002-0000-03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0"/>
  <sheetViews>
    <sheetView workbookViewId="0">
      <selection activeCell="I48" sqref="I48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278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3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1</v>
      </c>
      <c r="J8" s="16">
        <v>0</v>
      </c>
      <c r="K8" s="6" t="str">
        <f t="shared" si="0"/>
        <v>1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2</v>
      </c>
      <c r="J9" s="16">
        <v>0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1</v>
      </c>
      <c r="K10" s="6" t="str">
        <f t="shared" si="0"/>
        <v>X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1</v>
      </c>
      <c r="J12" s="16">
        <v>1</v>
      </c>
      <c r="K12" s="6" t="str">
        <f t="shared" si="0"/>
        <v>X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1</v>
      </c>
      <c r="J13" s="16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0</v>
      </c>
      <c r="J14" s="16">
        <v>1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4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1</v>
      </c>
      <c r="J16" s="16">
        <v>0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0</v>
      </c>
      <c r="K17" s="6" t="str">
        <f t="shared" si="0"/>
        <v>1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5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2</v>
      </c>
      <c r="J20" s="16">
        <v>2</v>
      </c>
      <c r="K20" s="6" t="str">
        <f t="shared" si="0"/>
        <v>X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0</v>
      </c>
      <c r="J21" s="16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2</v>
      </c>
      <c r="J22" s="16">
        <v>0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1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2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2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1</v>
      </c>
      <c r="J28" s="16">
        <v>1</v>
      </c>
      <c r="K28" s="6" t="str">
        <f t="shared" si="0"/>
        <v>X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0</v>
      </c>
      <c r="J29" s="16">
        <v>2</v>
      </c>
      <c r="K29" s="6" t="str">
        <f t="shared" si="0"/>
        <v>2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1</v>
      </c>
      <c r="J31" s="16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2</v>
      </c>
      <c r="J33" s="16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1</v>
      </c>
      <c r="K34" s="6" t="str">
        <f t="shared" si="0"/>
        <v>X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2</v>
      </c>
      <c r="J35" s="16">
        <v>0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1</v>
      </c>
      <c r="J36" s="16">
        <v>0</v>
      </c>
      <c r="K36" s="6" t="str">
        <f t="shared" si="0"/>
        <v>1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2</v>
      </c>
      <c r="J38" s="16">
        <v>0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1</v>
      </c>
      <c r="J39" s="16">
        <v>1</v>
      </c>
      <c r="K39" s="6" t="str">
        <f t="shared" ref="K39:K70" si="1">IF(OR(I39="",J39=""),"",IF(I39&gt;J39,"1",IF(I39=J39,"X","2")))</f>
        <v>X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2</v>
      </c>
      <c r="J40" s="16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3</v>
      </c>
      <c r="J41" s="16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0</v>
      </c>
      <c r="J42" s="16">
        <v>1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1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4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0</v>
      </c>
      <c r="J46" s="16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2</v>
      </c>
      <c r="J47" s="16">
        <v>0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1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0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1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1</v>
      </c>
      <c r="J52" s="16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1</v>
      </c>
      <c r="J54" s="16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2</v>
      </c>
      <c r="J55" s="16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1</v>
      </c>
      <c r="J56" s="16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0</v>
      </c>
      <c r="J57" s="16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2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0</v>
      </c>
      <c r="J60" s="16">
        <v>1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0</v>
      </c>
      <c r="J61" s="16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3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0</v>
      </c>
      <c r="J63" s="16">
        <v>2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1</v>
      </c>
      <c r="J64" s="16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0</v>
      </c>
      <c r="K65" s="6" t="str">
        <f t="shared" si="1"/>
        <v>1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2</v>
      </c>
      <c r="J66" s="16">
        <v>2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1</v>
      </c>
      <c r="J67" s="16">
        <v>1</v>
      </c>
      <c r="K67" s="6" t="str">
        <f t="shared" si="1"/>
        <v>X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0</v>
      </c>
      <c r="J69" s="16">
        <v>0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2</v>
      </c>
      <c r="J71" s="16">
        <v>0</v>
      </c>
      <c r="K71" s="6" t="str">
        <f t="shared" ref="K71:K102" si="2">IF(OR(I71="",J71=""),"",IF(I71&gt;J71,"1",IF(I71=J71,"X","2")))</f>
        <v>1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1</v>
      </c>
      <c r="J72" s="16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1</v>
      </c>
      <c r="J74" s="16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1</v>
      </c>
      <c r="J75" s="16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0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1</v>
      </c>
      <c r="J77" s="16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2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1</v>
      </c>
      <c r="J79" s="16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2</v>
      </c>
      <c r="J80" s="16">
        <v>0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3</v>
      </c>
      <c r="J81" s="16">
        <v>1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1</v>
      </c>
      <c r="J82" s="16">
        <v>0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2</v>
      </c>
      <c r="J84" s="16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3</v>
      </c>
      <c r="J85" s="16">
        <v>1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3</v>
      </c>
      <c r="J86" s="16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2</v>
      </c>
      <c r="J87" s="16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2</v>
      </c>
      <c r="J88" s="16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2</v>
      </c>
      <c r="J89" s="16">
        <v>0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2</v>
      </c>
      <c r="J90" s="16">
        <v>0</v>
      </c>
      <c r="K90" s="6" t="str">
        <f t="shared" si="2"/>
        <v>1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1</v>
      </c>
      <c r="J91" s="16">
        <v>0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0</v>
      </c>
      <c r="J92" s="16">
        <v>1</v>
      </c>
      <c r="K92" s="6" t="str">
        <f t="shared" si="2"/>
        <v>2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2</v>
      </c>
      <c r="J93" s="16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3</v>
      </c>
      <c r="J94" s="16">
        <v>1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1</v>
      </c>
      <c r="J95" s="16">
        <v>2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3</v>
      </c>
      <c r="J96" s="16">
        <v>2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1</v>
      </c>
      <c r="J97" s="16">
        <v>3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1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3</v>
      </c>
      <c r="J99" s="16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2</v>
      </c>
      <c r="J100" s="16">
        <v>0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1</v>
      </c>
      <c r="J101" s="16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1</v>
      </c>
      <c r="J102" s="16">
        <v>3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1</v>
      </c>
      <c r="J103" s="16">
        <v>2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2</v>
      </c>
      <c r="J104" s="16">
        <v>0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1</v>
      </c>
      <c r="J105" s="16">
        <v>2</v>
      </c>
      <c r="K105" s="6" t="str">
        <f t="shared" si="3"/>
        <v>2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0</v>
      </c>
      <c r="J106" s="16">
        <v>1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3</v>
      </c>
      <c r="J107" s="16">
        <v>2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2</v>
      </c>
      <c r="J108" s="16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2</v>
      </c>
      <c r="J109" s="16">
        <v>0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3</v>
      </c>
      <c r="J110" s="16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i8Ar8DrV8BR0GSmU9IB3S5zjq5PQ8c5FI4bU0n+iMj8uklfd5QpPJwF4NZZC0NsRgZYMTWty1q+Val/ovo/jWg==" saltValue="jvis7+9AffvdMuZRH7ElRQ==" spinCount="100000" sheet="1" objects="1" scenarios="1"/>
  <mergeCells count="2">
    <mergeCell ref="A1:M1"/>
    <mergeCell ref="B2:D2"/>
  </mergeCells>
  <conditionalFormatting sqref="I7:I110">
    <cfRule type="expression" dxfId="63" priority="1">
      <formula>AND(I7&lt;&gt;"",J7&lt;&gt;"")</formula>
    </cfRule>
  </conditionalFormatting>
  <conditionalFormatting sqref="J7:J110">
    <cfRule type="expression" dxfId="62" priority="2">
      <formula>AND(J7&lt;&gt;"",#REF!&lt;&gt;"")</formula>
    </cfRule>
  </conditionalFormatting>
  <dataValidations count="1">
    <dataValidation sqref="I7:J110" xr:uid="{00000000-0002-0000-04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0"/>
  <sheetViews>
    <sheetView workbookViewId="0">
      <selection activeCell="R18" sqref="R18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279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7">
        <v>2</v>
      </c>
      <c r="J7" s="17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7">
        <v>1</v>
      </c>
      <c r="J8" s="17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7">
        <v>2</v>
      </c>
      <c r="J9" s="17">
        <v>1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7">
        <v>2</v>
      </c>
      <c r="J10" s="17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7">
        <v>0</v>
      </c>
      <c r="J11" s="17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7">
        <v>2</v>
      </c>
      <c r="J12" s="17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7">
        <v>1</v>
      </c>
      <c r="J13" s="17">
        <v>1</v>
      </c>
      <c r="K13" s="6" t="str">
        <f t="shared" si="0"/>
        <v>X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7">
        <v>1</v>
      </c>
      <c r="J14" s="17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7">
        <v>4</v>
      </c>
      <c r="J15" s="17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7">
        <v>2</v>
      </c>
      <c r="J16" s="17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7">
        <v>1</v>
      </c>
      <c r="J17" s="17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7">
        <v>2</v>
      </c>
      <c r="J18" s="17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7">
        <v>4</v>
      </c>
      <c r="J19" s="17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7">
        <v>2</v>
      </c>
      <c r="J20" s="17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7">
        <v>0</v>
      </c>
      <c r="J21" s="17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7">
        <v>1</v>
      </c>
      <c r="J22" s="17">
        <v>1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7">
        <v>2</v>
      </c>
      <c r="J23" s="17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7">
        <v>1</v>
      </c>
      <c r="J24" s="17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7">
        <v>3</v>
      </c>
      <c r="J25" s="17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7">
        <v>2</v>
      </c>
      <c r="J26" s="17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7">
        <v>3</v>
      </c>
      <c r="J27" s="17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7">
        <v>2</v>
      </c>
      <c r="J28" s="17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7">
        <v>1</v>
      </c>
      <c r="J29" s="17">
        <v>1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7">
        <v>1</v>
      </c>
      <c r="J30" s="17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7">
        <v>2</v>
      </c>
      <c r="J31" s="17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7">
        <v>2</v>
      </c>
      <c r="J32" s="17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7">
        <v>2</v>
      </c>
      <c r="J33" s="17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7">
        <v>2</v>
      </c>
      <c r="J34" s="17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7">
        <v>2</v>
      </c>
      <c r="J35" s="17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7">
        <v>1</v>
      </c>
      <c r="J36" s="17">
        <v>1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7">
        <v>4</v>
      </c>
      <c r="J37" s="17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7">
        <v>2</v>
      </c>
      <c r="J38" s="17">
        <v>1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7">
        <v>2</v>
      </c>
      <c r="J39" s="17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7">
        <v>3</v>
      </c>
      <c r="J40" s="17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7">
        <v>2</v>
      </c>
      <c r="J41" s="17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7">
        <v>1</v>
      </c>
      <c r="J42" s="17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7">
        <v>3</v>
      </c>
      <c r="J43" s="17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7">
        <v>2</v>
      </c>
      <c r="J44" s="17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7">
        <v>2</v>
      </c>
      <c r="J45" s="17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7">
        <v>1</v>
      </c>
      <c r="J46" s="17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7">
        <v>2</v>
      </c>
      <c r="J47" s="17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7">
        <v>3</v>
      </c>
      <c r="J48" s="17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7">
        <v>1</v>
      </c>
      <c r="J49" s="17">
        <v>1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7">
        <v>1</v>
      </c>
      <c r="J50" s="17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7">
        <v>3</v>
      </c>
      <c r="J51" s="17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7">
        <v>2</v>
      </c>
      <c r="J52" s="17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7">
        <v>0</v>
      </c>
      <c r="J53" s="17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7">
        <v>2</v>
      </c>
      <c r="J54" s="17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7">
        <v>1</v>
      </c>
      <c r="J55" s="17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7">
        <v>2</v>
      </c>
      <c r="J56" s="17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7">
        <v>0</v>
      </c>
      <c r="J57" s="17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7">
        <v>2</v>
      </c>
      <c r="J58" s="17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7">
        <v>1</v>
      </c>
      <c r="J59" s="17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7">
        <v>1</v>
      </c>
      <c r="J60" s="17">
        <v>1</v>
      </c>
      <c r="K60" s="6" t="str">
        <f t="shared" si="1"/>
        <v>X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7">
        <v>1</v>
      </c>
      <c r="J61" s="17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7">
        <v>0</v>
      </c>
      <c r="J62" s="17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7">
        <v>1</v>
      </c>
      <c r="J63" s="17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7">
        <v>0</v>
      </c>
      <c r="J64" s="17">
        <v>3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7">
        <v>1</v>
      </c>
      <c r="J65" s="17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7">
        <v>1</v>
      </c>
      <c r="J66" s="17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7">
        <v>0</v>
      </c>
      <c r="J67" s="17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7">
        <v>2</v>
      </c>
      <c r="J68" s="17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7">
        <v>2</v>
      </c>
      <c r="J69" s="17">
        <v>1</v>
      </c>
      <c r="K69" s="6" t="str">
        <f t="shared" si="1"/>
        <v>1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7">
        <v>1</v>
      </c>
      <c r="J70" s="17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7">
        <v>1</v>
      </c>
      <c r="J71" s="17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7">
        <v>0</v>
      </c>
      <c r="J72" s="17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7">
        <v>0</v>
      </c>
      <c r="J73" s="17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7">
        <v>2</v>
      </c>
      <c r="J74" s="17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7">
        <v>1</v>
      </c>
      <c r="J75" s="17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7">
        <v>1</v>
      </c>
      <c r="J76" s="17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7">
        <v>1</v>
      </c>
      <c r="J77" s="17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7">
        <v>0</v>
      </c>
      <c r="J78" s="17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7">
        <v>1</v>
      </c>
      <c r="J79" s="17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7">
        <v>2</v>
      </c>
      <c r="J80" s="17">
        <v>1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7">
        <v>3</v>
      </c>
      <c r="J81" s="17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7">
        <v>2</v>
      </c>
      <c r="J82" s="17">
        <v>0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7">
        <v>1</v>
      </c>
      <c r="J83" s="17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7">
        <v>3</v>
      </c>
      <c r="J84" s="17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7">
        <v>2</v>
      </c>
      <c r="J85" s="17">
        <v>0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7">
        <v>2</v>
      </c>
      <c r="J86" s="17">
        <v>1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7">
        <v>2</v>
      </c>
      <c r="J87" s="17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7">
        <v>2</v>
      </c>
      <c r="J88" s="17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7">
        <v>3</v>
      </c>
      <c r="J89" s="17">
        <v>1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7">
        <v>1</v>
      </c>
      <c r="J90" s="17">
        <v>2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7">
        <v>2</v>
      </c>
      <c r="J91" s="17">
        <v>0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7">
        <v>1</v>
      </c>
      <c r="J92" s="17">
        <v>2</v>
      </c>
      <c r="K92" s="6" t="str">
        <f t="shared" si="2"/>
        <v>2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7">
        <v>3</v>
      </c>
      <c r="J93" s="17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7">
        <v>2</v>
      </c>
      <c r="J94" s="17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7">
        <v>2</v>
      </c>
      <c r="J95" s="17">
        <v>1</v>
      </c>
      <c r="K95" s="6" t="str">
        <f t="shared" si="2"/>
        <v>1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7">
        <v>2</v>
      </c>
      <c r="J96" s="17">
        <v>0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7">
        <v>1</v>
      </c>
      <c r="J97" s="17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7">
        <v>2</v>
      </c>
      <c r="J98" s="17">
        <v>0</v>
      </c>
      <c r="K98" s="6" t="str">
        <f t="shared" si="2"/>
        <v>1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7">
        <v>2</v>
      </c>
      <c r="J99" s="17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7">
        <v>1</v>
      </c>
      <c r="J100" s="17">
        <v>2</v>
      </c>
      <c r="K100" s="6" t="str">
        <f t="shared" si="2"/>
        <v>2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7">
        <v>1</v>
      </c>
      <c r="J101" s="17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7">
        <v>2</v>
      </c>
      <c r="J102" s="17">
        <v>1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7">
        <v>2</v>
      </c>
      <c r="J103" s="17">
        <v>1</v>
      </c>
      <c r="K103" s="6" t="str">
        <f t="shared" ref="K103:K110" si="3">IF(OR(I103="",J103=""),"",IF(I103&gt;J103,"1",IF(I103=J103,"X","2")))</f>
        <v>1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7">
        <v>1</v>
      </c>
      <c r="J104" s="17">
        <v>2</v>
      </c>
      <c r="K104" s="6" t="str">
        <f t="shared" si="3"/>
        <v>2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7">
        <v>1</v>
      </c>
      <c r="J105" s="17">
        <v>2</v>
      </c>
      <c r="K105" s="6" t="str">
        <f t="shared" si="3"/>
        <v>2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7">
        <v>2</v>
      </c>
      <c r="J106" s="17">
        <v>0</v>
      </c>
      <c r="K106" s="6" t="str">
        <f t="shared" si="3"/>
        <v>1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7">
        <v>2</v>
      </c>
      <c r="J107" s="17">
        <v>1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7">
        <v>1</v>
      </c>
      <c r="J108" s="17">
        <v>2</v>
      </c>
      <c r="K108" s="6" t="str">
        <f t="shared" si="3"/>
        <v>2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7">
        <v>2</v>
      </c>
      <c r="J109" s="17">
        <v>1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7">
        <v>1</v>
      </c>
      <c r="J110" s="17">
        <v>2</v>
      </c>
      <c r="K110" s="6" t="str">
        <f t="shared" si="3"/>
        <v>2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6vGD0ykGav1MxXQhRF2wbo59yfC3g6wcPUqlZvbwunfktkdm2mTAupt+euaE+QIQZ7fBldqYxYi4zX6oPkX9Pg==" saltValue="TLPCCMAUt9EtVxsKbn8Yvw==" spinCount="100000" sheet="1" objects="1" scenarios="1"/>
  <mergeCells count="2">
    <mergeCell ref="A1:M1"/>
    <mergeCell ref="B2:D2"/>
  </mergeCells>
  <conditionalFormatting sqref="I7:I110">
    <cfRule type="expression" dxfId="59" priority="1">
      <formula>AND(I7&lt;&gt;"",J7&lt;&gt;"")</formula>
    </cfRule>
  </conditionalFormatting>
  <conditionalFormatting sqref="J7:J110">
    <cfRule type="expression" dxfId="58" priority="2">
      <formula>AND(J7&lt;&gt;"",#REF!&lt;&gt;"")</formula>
    </cfRule>
  </conditionalFormatting>
  <dataValidations count="1">
    <dataValidation sqref="I7:J110" xr:uid="{00000000-0002-0000-05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0"/>
  <sheetViews>
    <sheetView workbookViewId="0">
      <selection activeCell="M15" sqref="M15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280</v>
      </c>
      <c r="C2" s="31"/>
      <c r="D2" s="31"/>
      <c r="F2" s="2" t="s">
        <v>271</v>
      </c>
      <c r="G2" s="7">
        <f>SUM(L7:L110)</f>
        <v>3</v>
      </c>
      <c r="H2" s="7"/>
      <c r="I2" s="7" t="s">
        <v>7</v>
      </c>
      <c r="J2" s="7">
        <f>SUMPRODUCT(--(I7:I110=Matchschema!$K$2:$K$105),--(J7:J110=Matchschema!$L$2:$L$105),--(Matchschema!$K$2:$K$105&lt;&gt;""))</f>
        <v>1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3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1</v>
      </c>
      <c r="J8" s="16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2</v>
      </c>
      <c r="J9" s="16">
        <v>1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1</v>
      </c>
      <c r="K10" s="6" t="str">
        <f t="shared" si="0"/>
        <v>X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2</v>
      </c>
      <c r="J12" s="16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0</v>
      </c>
      <c r="J13" s="16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1</v>
      </c>
      <c r="K14" s="6" t="str">
        <f t="shared" si="0"/>
        <v>X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3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2</v>
      </c>
      <c r="J16" s="16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3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2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0</v>
      </c>
      <c r="J21" s="16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2</v>
      </c>
      <c r="J22" s="16">
        <v>1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1</v>
      </c>
      <c r="J24" s="16">
        <v>1</v>
      </c>
      <c r="K24" s="6" t="str">
        <f t="shared" si="0"/>
        <v>X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3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1</v>
      </c>
      <c r="K26" s="6" t="str">
        <f t="shared" si="0"/>
        <v>X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2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2</v>
      </c>
      <c r="J28" s="16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1</v>
      </c>
      <c r="J29" s="16">
        <v>1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1</v>
      </c>
      <c r="J30" s="16">
        <v>1</v>
      </c>
      <c r="K30" s="6" t="str">
        <f t="shared" si="0"/>
        <v>X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2</v>
      </c>
      <c r="J33" s="16">
        <v>1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1</v>
      </c>
      <c r="K34" s="6" t="str">
        <f t="shared" si="0"/>
        <v>X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1</v>
      </c>
      <c r="J35" s="16">
        <v>1</v>
      </c>
      <c r="K35" s="6" t="str">
        <f t="shared" si="0"/>
        <v>X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0</v>
      </c>
      <c r="J36" s="16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1</v>
      </c>
      <c r="J38" s="16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2</v>
      </c>
      <c r="J39" s="16">
        <v>0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2</v>
      </c>
      <c r="J40" s="16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2</v>
      </c>
      <c r="J41" s="16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0</v>
      </c>
      <c r="J42" s="16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2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1</v>
      </c>
      <c r="J46" s="16">
        <v>1</v>
      </c>
      <c r="K46" s="6" t="str">
        <f t="shared" si="1"/>
        <v>X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3</v>
      </c>
      <c r="J47" s="16">
        <v>0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3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1</v>
      </c>
      <c r="J49" s="16">
        <v>2</v>
      </c>
      <c r="K49" s="6" t="str">
        <f t="shared" si="1"/>
        <v>2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1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2</v>
      </c>
      <c r="J52" s="16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1</v>
      </c>
      <c r="J54" s="16">
        <v>1</v>
      </c>
      <c r="K54" s="6" t="str">
        <f t="shared" si="1"/>
        <v>X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2</v>
      </c>
      <c r="J55" s="16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1</v>
      </c>
      <c r="J56" s="16">
        <v>1</v>
      </c>
      <c r="K56" s="6" t="str">
        <f t="shared" si="1"/>
        <v>X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0</v>
      </c>
      <c r="J57" s="16">
        <v>3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3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0</v>
      </c>
      <c r="J60" s="16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0</v>
      </c>
      <c r="J61" s="16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0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0</v>
      </c>
      <c r="J64" s="16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0</v>
      </c>
      <c r="J67" s="16">
        <v>3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2</v>
      </c>
      <c r="J68" s="16">
        <v>1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1</v>
      </c>
      <c r="J69" s="16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1</v>
      </c>
      <c r="J71" s="16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0</v>
      </c>
      <c r="J72" s="16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0</v>
      </c>
      <c r="J75" s="16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1</v>
      </c>
      <c r="J77" s="16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1</v>
      </c>
      <c r="J79" s="16">
        <v>1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1</v>
      </c>
      <c r="J80" s="16">
        <v>1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1</v>
      </c>
      <c r="J81" s="16">
        <v>1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1</v>
      </c>
      <c r="J82" s="16">
        <v>1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1</v>
      </c>
      <c r="J83" s="16">
        <v>1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1</v>
      </c>
      <c r="J84" s="16">
        <v>1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1</v>
      </c>
      <c r="J85" s="16">
        <v>1</v>
      </c>
      <c r="K85" s="6" t="str">
        <f t="shared" si="2"/>
        <v>X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1</v>
      </c>
      <c r="J86" s="16">
        <v>1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1</v>
      </c>
      <c r="J87" s="16">
        <v>1</v>
      </c>
      <c r="K87" s="6" t="str">
        <f t="shared" si="2"/>
        <v>X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1</v>
      </c>
      <c r="J88" s="16">
        <v>1</v>
      </c>
      <c r="K88" s="6" t="str">
        <f t="shared" si="2"/>
        <v>X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1</v>
      </c>
      <c r="J89" s="16">
        <v>1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1</v>
      </c>
      <c r="J90" s="16">
        <v>1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1</v>
      </c>
      <c r="J91" s="16">
        <v>1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1</v>
      </c>
      <c r="J92" s="16">
        <v>1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2</v>
      </c>
      <c r="J93" s="16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1</v>
      </c>
      <c r="J94" s="16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2</v>
      </c>
      <c r="J95" s="16">
        <v>0</v>
      </c>
      <c r="K95" s="6" t="str">
        <f t="shared" si="2"/>
        <v>1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2</v>
      </c>
      <c r="J96" s="16">
        <v>1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2</v>
      </c>
      <c r="J97" s="16">
        <v>1</v>
      </c>
      <c r="K97" s="6" t="str">
        <f t="shared" si="2"/>
        <v>1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1</v>
      </c>
      <c r="J98" s="16">
        <v>1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3</v>
      </c>
      <c r="J99" s="16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2</v>
      </c>
      <c r="J100" s="16">
        <v>1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2</v>
      </c>
      <c r="J101" s="16">
        <v>1</v>
      </c>
      <c r="K101" s="6" t="str">
        <f t="shared" si="2"/>
        <v>1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1</v>
      </c>
      <c r="J102" s="16">
        <v>0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2</v>
      </c>
      <c r="J103" s="16">
        <v>1</v>
      </c>
      <c r="K103" s="6" t="str">
        <f t="shared" ref="K103:K110" si="3">IF(OR(I103="",J103=""),"",IF(I103&gt;J103,"1",IF(I103=J103,"X","2")))</f>
        <v>1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2</v>
      </c>
      <c r="J104" s="16">
        <v>0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1</v>
      </c>
      <c r="J105" s="16">
        <v>0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2</v>
      </c>
      <c r="J106" s="16">
        <v>1</v>
      </c>
      <c r="K106" s="6" t="str">
        <f t="shared" si="3"/>
        <v>1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2</v>
      </c>
      <c r="J107" s="16">
        <v>1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3</v>
      </c>
      <c r="J108" s="16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2</v>
      </c>
      <c r="J109" s="16">
        <v>1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1</v>
      </c>
      <c r="J110" s="16">
        <v>2</v>
      </c>
      <c r="K110" s="6" t="str">
        <f t="shared" si="3"/>
        <v>2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0QmzAYj0c4KApcGBMWZyiDGV4XLlIiIYK9OYyMHHoaLkTxLk5QkkrL6AVT4PlIvylJzLK8EW75KQJIHlDdpJ1w==" saltValue="h/NTMvHaAeqjBUOkHjhTyw==" spinCount="100000" sheet="1" objects="1" scenarios="1"/>
  <mergeCells count="2">
    <mergeCell ref="A1:M1"/>
    <mergeCell ref="B2:D2"/>
  </mergeCells>
  <conditionalFormatting sqref="I7:I110">
    <cfRule type="expression" dxfId="55" priority="1">
      <formula>AND(I7&lt;&gt;"",J7&lt;&gt;"")</formula>
    </cfRule>
  </conditionalFormatting>
  <conditionalFormatting sqref="J7:J110">
    <cfRule type="expression" dxfId="54" priority="2">
      <formula>AND(J7&lt;&gt;"",#REF!&lt;&gt;"")</formula>
    </cfRule>
  </conditionalFormatting>
  <dataValidations count="1">
    <dataValidation sqref="I7:J110" xr:uid="{00000000-0002-0000-06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0"/>
  <sheetViews>
    <sheetView workbookViewId="0">
      <selection activeCell="M16" sqref="M16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281</v>
      </c>
      <c r="C2" s="31"/>
      <c r="D2" s="31"/>
      <c r="F2" s="2" t="s">
        <v>271</v>
      </c>
      <c r="G2" s="7">
        <f>SUM(L7:L110)</f>
        <v>3</v>
      </c>
      <c r="H2" s="7"/>
      <c r="I2" s="7" t="s">
        <v>7</v>
      </c>
      <c r="J2" s="7">
        <f>SUMPRODUCT(--(I7:I110=Matchschema!$K$2:$K$105),--(J7:J110=Matchschema!$L$2:$L$105),--(Matchschema!$K$2:$K$105&lt;&gt;""))</f>
        <v>1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7">
        <v>2</v>
      </c>
      <c r="J7" s="17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3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7">
        <v>1</v>
      </c>
      <c r="J8" s="17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7">
        <v>2</v>
      </c>
      <c r="J9" s="17">
        <v>0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7">
        <v>2</v>
      </c>
      <c r="J10" s="17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7">
        <v>0</v>
      </c>
      <c r="J11" s="17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7">
        <v>2</v>
      </c>
      <c r="J12" s="17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7">
        <v>1</v>
      </c>
      <c r="J13" s="17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7">
        <v>1</v>
      </c>
      <c r="J14" s="17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7">
        <v>3</v>
      </c>
      <c r="J15" s="17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7">
        <v>2</v>
      </c>
      <c r="J16" s="17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7">
        <v>1</v>
      </c>
      <c r="J17" s="17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7">
        <v>2</v>
      </c>
      <c r="J18" s="17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7">
        <v>3</v>
      </c>
      <c r="J19" s="17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7">
        <v>2</v>
      </c>
      <c r="J20" s="17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7">
        <v>1</v>
      </c>
      <c r="J21" s="17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7">
        <v>2</v>
      </c>
      <c r="J22" s="17">
        <v>0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7">
        <v>2</v>
      </c>
      <c r="J23" s="17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7">
        <v>1</v>
      </c>
      <c r="J24" s="17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7">
        <v>2</v>
      </c>
      <c r="J25" s="17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7">
        <v>2</v>
      </c>
      <c r="J26" s="17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7">
        <v>3</v>
      </c>
      <c r="J27" s="17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7">
        <v>2</v>
      </c>
      <c r="J28" s="17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7">
        <v>1</v>
      </c>
      <c r="J29" s="17">
        <v>2</v>
      </c>
      <c r="K29" s="6" t="str">
        <f t="shared" si="0"/>
        <v>2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7">
        <v>0</v>
      </c>
      <c r="J30" s="17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7">
        <v>2</v>
      </c>
      <c r="J31" s="17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7">
        <v>2</v>
      </c>
      <c r="J32" s="17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7">
        <v>2</v>
      </c>
      <c r="J33" s="17">
        <v>1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7">
        <v>2</v>
      </c>
      <c r="J34" s="17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7">
        <v>2</v>
      </c>
      <c r="J35" s="17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7">
        <v>0</v>
      </c>
      <c r="J36" s="17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7">
        <v>4</v>
      </c>
      <c r="J37" s="17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7">
        <v>1</v>
      </c>
      <c r="J38" s="17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7">
        <v>2</v>
      </c>
      <c r="J39" s="17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7">
        <v>2</v>
      </c>
      <c r="J40" s="17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7">
        <v>3</v>
      </c>
      <c r="J41" s="17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7">
        <v>0</v>
      </c>
      <c r="J42" s="17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7">
        <v>3</v>
      </c>
      <c r="J43" s="17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7">
        <v>3</v>
      </c>
      <c r="J44" s="17">
        <v>1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7">
        <v>2</v>
      </c>
      <c r="J45" s="17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7">
        <v>0</v>
      </c>
      <c r="J46" s="17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7">
        <v>2</v>
      </c>
      <c r="J47" s="17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7">
        <v>3</v>
      </c>
      <c r="J48" s="17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7">
        <v>1</v>
      </c>
      <c r="J49" s="17">
        <v>1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7">
        <v>0</v>
      </c>
      <c r="J50" s="17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7">
        <v>2</v>
      </c>
      <c r="J51" s="17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7">
        <v>3</v>
      </c>
      <c r="J52" s="17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7">
        <v>0</v>
      </c>
      <c r="J53" s="17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7">
        <v>2</v>
      </c>
      <c r="J54" s="17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7">
        <v>1</v>
      </c>
      <c r="J55" s="17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7">
        <v>1</v>
      </c>
      <c r="J56" s="17">
        <v>1</v>
      </c>
      <c r="K56" s="6" t="str">
        <f t="shared" si="1"/>
        <v>X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7">
        <v>1</v>
      </c>
      <c r="J57" s="17">
        <v>3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7">
        <v>2</v>
      </c>
      <c r="J58" s="17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7">
        <v>1</v>
      </c>
      <c r="J59" s="17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7">
        <v>1</v>
      </c>
      <c r="J60" s="17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7">
        <v>0</v>
      </c>
      <c r="J61" s="17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7">
        <v>1</v>
      </c>
      <c r="J62" s="17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7">
        <v>2</v>
      </c>
      <c r="J63" s="17">
        <v>1</v>
      </c>
      <c r="K63" s="6" t="str">
        <f t="shared" si="1"/>
        <v>1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7">
        <v>0</v>
      </c>
      <c r="J64" s="17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7">
        <v>1</v>
      </c>
      <c r="J65" s="17">
        <v>2</v>
      </c>
      <c r="K65" s="6" t="str">
        <f t="shared" si="1"/>
        <v>2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7">
        <v>1</v>
      </c>
      <c r="J66" s="17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7">
        <v>1</v>
      </c>
      <c r="J67" s="17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7">
        <v>2</v>
      </c>
      <c r="J68" s="17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7">
        <v>1</v>
      </c>
      <c r="J69" s="17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7">
        <v>1</v>
      </c>
      <c r="J70" s="17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7">
        <v>1</v>
      </c>
      <c r="J71" s="17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7">
        <v>0</v>
      </c>
      <c r="J72" s="17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7">
        <v>0</v>
      </c>
      <c r="J73" s="17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7">
        <v>2</v>
      </c>
      <c r="J74" s="17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7">
        <v>1</v>
      </c>
      <c r="J75" s="17">
        <v>1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7">
        <v>1</v>
      </c>
      <c r="J76" s="17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7">
        <v>1</v>
      </c>
      <c r="J77" s="17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7">
        <v>0</v>
      </c>
      <c r="J78" s="17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7">
        <v>1</v>
      </c>
      <c r="J79" s="17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7">
        <v>2</v>
      </c>
      <c r="J80" s="17">
        <v>1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7">
        <v>2</v>
      </c>
      <c r="J81" s="17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7">
        <v>2</v>
      </c>
      <c r="J82" s="17">
        <v>1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7">
        <v>1</v>
      </c>
      <c r="J83" s="17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7">
        <v>2</v>
      </c>
      <c r="J84" s="17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7">
        <v>2</v>
      </c>
      <c r="J85" s="17">
        <v>0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7">
        <v>2</v>
      </c>
      <c r="J86" s="17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7">
        <v>2</v>
      </c>
      <c r="J87" s="17">
        <v>1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7">
        <v>2</v>
      </c>
      <c r="J88" s="17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7">
        <v>2</v>
      </c>
      <c r="J89" s="17">
        <v>1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7">
        <v>1</v>
      </c>
      <c r="J90" s="17">
        <v>2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7">
        <v>2</v>
      </c>
      <c r="J91" s="17">
        <v>1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7">
        <v>2</v>
      </c>
      <c r="J92" s="17">
        <v>1</v>
      </c>
      <c r="K92" s="6" t="str">
        <f t="shared" si="2"/>
        <v>1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7">
        <v>2</v>
      </c>
      <c r="J93" s="17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7">
        <v>3</v>
      </c>
      <c r="J94" s="17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7">
        <v>1</v>
      </c>
      <c r="J95" s="17">
        <v>2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7">
        <v>2</v>
      </c>
      <c r="J96" s="17">
        <v>1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7">
        <v>1</v>
      </c>
      <c r="J97" s="17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7">
        <v>1</v>
      </c>
      <c r="J98" s="17">
        <v>2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7">
        <v>2</v>
      </c>
      <c r="J99" s="17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7">
        <v>2</v>
      </c>
      <c r="J100" s="17">
        <v>1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7">
        <v>0</v>
      </c>
      <c r="J101" s="17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7">
        <v>1</v>
      </c>
      <c r="J102" s="17">
        <v>2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7">
        <v>1</v>
      </c>
      <c r="J103" s="17">
        <v>2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7">
        <v>2</v>
      </c>
      <c r="J104" s="17">
        <v>1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7">
        <v>2</v>
      </c>
      <c r="J105" s="17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7">
        <v>1</v>
      </c>
      <c r="J106" s="17">
        <v>2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7">
        <v>1</v>
      </c>
      <c r="J107" s="17">
        <v>2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7">
        <v>2</v>
      </c>
      <c r="J108" s="17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7">
        <v>2</v>
      </c>
      <c r="J109" s="17">
        <v>1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7">
        <v>2</v>
      </c>
      <c r="J110" s="17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uW+E2iMP6eLuw4Bpi6s8plvIVoDvZqBiIloE9DKm37TsuaFsrju1OtmFnm+CqQNFP4AAafGfDVYd26MGiO0lGA==" saltValue="V4GmXqXwo/VPvm9v+KVZBA==" spinCount="100000" sheet="1" objects="1" scenarios="1"/>
  <mergeCells count="2">
    <mergeCell ref="A1:M1"/>
    <mergeCell ref="B2:D2"/>
  </mergeCells>
  <conditionalFormatting sqref="I7:I110">
    <cfRule type="expression" dxfId="51" priority="1">
      <formula>AND(I7&lt;&gt;"",J7&lt;&gt;"")</formula>
    </cfRule>
  </conditionalFormatting>
  <conditionalFormatting sqref="J7:J110">
    <cfRule type="expression" dxfId="50" priority="2">
      <formula>AND(J7&lt;&gt;"",#REF!&lt;&gt;"")</formula>
    </cfRule>
  </conditionalFormatting>
  <dataValidations count="1">
    <dataValidation sqref="I7:J110" xr:uid="{00000000-0002-0000-07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0"/>
  <sheetViews>
    <sheetView workbookViewId="0">
      <selection activeCell="M26" sqref="M26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282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3</v>
      </c>
      <c r="J7" s="16">
        <v>2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2</v>
      </c>
      <c r="J8" s="16">
        <v>1</v>
      </c>
      <c r="K8" s="6" t="str">
        <f t="shared" si="0"/>
        <v>1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0</v>
      </c>
      <c r="J9" s="16">
        <v>1</v>
      </c>
      <c r="K9" s="6" t="str">
        <f t="shared" si="0"/>
        <v>2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2</v>
      </c>
      <c r="J10" s="16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1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0</v>
      </c>
      <c r="J13" s="16">
        <v>1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0</v>
      </c>
      <c r="J14" s="16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3</v>
      </c>
      <c r="J15" s="16">
        <v>1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2</v>
      </c>
      <c r="J16" s="16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2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3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1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0</v>
      </c>
      <c r="K21" s="6" t="str">
        <f t="shared" si="0"/>
        <v>1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0</v>
      </c>
      <c r="J22" s="16">
        <v>1</v>
      </c>
      <c r="K22" s="6" t="str">
        <f t="shared" si="0"/>
        <v>2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1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3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3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3</v>
      </c>
      <c r="J28" s="16">
        <v>0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1</v>
      </c>
      <c r="J29" s="16">
        <v>2</v>
      </c>
      <c r="K29" s="6" t="str">
        <f t="shared" si="0"/>
        <v>2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2</v>
      </c>
      <c r="J30" s="16">
        <v>1</v>
      </c>
      <c r="K30" s="6" t="str">
        <f t="shared" si="0"/>
        <v>1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1</v>
      </c>
      <c r="J33" s="16">
        <v>2</v>
      </c>
      <c r="K33" s="6" t="str">
        <f t="shared" si="0"/>
        <v>2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2</v>
      </c>
      <c r="K34" s="6" t="str">
        <f t="shared" si="0"/>
        <v>2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2</v>
      </c>
      <c r="J35" s="16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1</v>
      </c>
      <c r="J36" s="16">
        <v>0</v>
      </c>
      <c r="K36" s="6" t="str">
        <f t="shared" si="0"/>
        <v>1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2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1</v>
      </c>
      <c r="J38" s="16">
        <v>0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3</v>
      </c>
      <c r="J39" s="16">
        <v>2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3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1</v>
      </c>
      <c r="J41" s="16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1</v>
      </c>
      <c r="J42" s="16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2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1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0</v>
      </c>
      <c r="J45" s="16">
        <v>1</v>
      </c>
      <c r="K45" s="6" t="str">
        <f t="shared" si="1"/>
        <v>2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2</v>
      </c>
      <c r="J46" s="16">
        <v>0</v>
      </c>
      <c r="K46" s="6" t="str">
        <f t="shared" si="1"/>
        <v>1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3</v>
      </c>
      <c r="J47" s="16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0</v>
      </c>
      <c r="K50" s="6" t="str">
        <f t="shared" si="1"/>
        <v>1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3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3</v>
      </c>
      <c r="J52" s="16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1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2</v>
      </c>
      <c r="J54" s="16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2</v>
      </c>
      <c r="J55" s="16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1</v>
      </c>
      <c r="J56" s="16">
        <v>2</v>
      </c>
      <c r="K56" s="6" t="str">
        <f t="shared" si="1"/>
        <v>2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3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1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2</v>
      </c>
      <c r="J60" s="16">
        <v>1</v>
      </c>
      <c r="K60" s="6" t="str">
        <f t="shared" si="1"/>
        <v>1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1</v>
      </c>
      <c r="J61" s="16">
        <v>0</v>
      </c>
      <c r="K61" s="6" t="str">
        <f t="shared" si="1"/>
        <v>1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3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2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1</v>
      </c>
      <c r="J64" s="16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2</v>
      </c>
      <c r="J65" s="16">
        <v>1</v>
      </c>
      <c r="K65" s="6" t="str">
        <f t="shared" si="1"/>
        <v>1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2</v>
      </c>
      <c r="K66" s="6" t="str">
        <f t="shared" si="1"/>
        <v>2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0</v>
      </c>
      <c r="J67" s="16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1</v>
      </c>
      <c r="J69" s="16">
        <v>2</v>
      </c>
      <c r="K69" s="6" t="str">
        <f t="shared" si="1"/>
        <v>2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0</v>
      </c>
      <c r="J70" s="16">
        <v>3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0</v>
      </c>
      <c r="J71" s="16">
        <v>1</v>
      </c>
      <c r="K71" s="6" t="str">
        <f t="shared" ref="K71:K102" si="2">IF(OR(I71="",J71=""),"",IF(I71&gt;J71,"1",IF(I71=J71,"X","2")))</f>
        <v>2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0</v>
      </c>
      <c r="J72" s="16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1</v>
      </c>
      <c r="J74" s="16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1</v>
      </c>
      <c r="J75" s="16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0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0</v>
      </c>
      <c r="J77" s="16">
        <v>1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1</v>
      </c>
      <c r="J78" s="16">
        <v>2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2</v>
      </c>
      <c r="J79" s="16">
        <v>1</v>
      </c>
      <c r="K79" s="6" t="str">
        <f t="shared" si="2"/>
        <v>1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1</v>
      </c>
      <c r="J80" s="16">
        <v>3</v>
      </c>
      <c r="K80" s="6" t="str">
        <f t="shared" si="2"/>
        <v>2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2</v>
      </c>
      <c r="J81" s="16">
        <v>1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3</v>
      </c>
      <c r="J82" s="16">
        <v>2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1</v>
      </c>
      <c r="J83" s="16">
        <v>0</v>
      </c>
      <c r="K83" s="6" t="str">
        <f t="shared" si="2"/>
        <v>1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0</v>
      </c>
      <c r="J84" s="16">
        <v>1</v>
      </c>
      <c r="K84" s="6" t="str">
        <f t="shared" si="2"/>
        <v>2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2</v>
      </c>
      <c r="J85" s="16">
        <v>0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1</v>
      </c>
      <c r="J86" s="16">
        <v>3</v>
      </c>
      <c r="K86" s="6" t="str">
        <f t="shared" si="2"/>
        <v>2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2</v>
      </c>
      <c r="J87" s="16">
        <v>1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0</v>
      </c>
      <c r="J88" s="16">
        <v>2</v>
      </c>
      <c r="K88" s="6" t="str">
        <f t="shared" si="2"/>
        <v>2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1</v>
      </c>
      <c r="J89" s="16">
        <v>2</v>
      </c>
      <c r="K89" s="6" t="str">
        <f t="shared" si="2"/>
        <v>2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2</v>
      </c>
      <c r="J90" s="16">
        <v>1</v>
      </c>
      <c r="K90" s="6" t="str">
        <f t="shared" si="2"/>
        <v>1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1</v>
      </c>
      <c r="J91" s="16">
        <v>0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3</v>
      </c>
      <c r="J92" s="16">
        <v>1</v>
      </c>
      <c r="K92" s="6" t="str">
        <f t="shared" si="2"/>
        <v>1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2</v>
      </c>
      <c r="J93" s="16">
        <v>3</v>
      </c>
      <c r="K93" s="6" t="str">
        <f t="shared" si="2"/>
        <v>2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1</v>
      </c>
      <c r="J94" s="16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2</v>
      </c>
      <c r="J95" s="16">
        <v>0</v>
      </c>
      <c r="K95" s="6" t="str">
        <f t="shared" si="2"/>
        <v>1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2</v>
      </c>
      <c r="K96" s="6" t="str">
        <f t="shared" si="2"/>
        <v>2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0</v>
      </c>
      <c r="J97" s="16">
        <v>1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2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1</v>
      </c>
      <c r="J99" s="16">
        <v>0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2</v>
      </c>
      <c r="J100" s="16">
        <v>1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3</v>
      </c>
      <c r="J101" s="16">
        <v>1</v>
      </c>
      <c r="K101" s="6" t="str">
        <f t="shared" si="2"/>
        <v>1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2</v>
      </c>
      <c r="J102" s="16">
        <v>3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1</v>
      </c>
      <c r="J103" s="16">
        <v>2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2</v>
      </c>
      <c r="J104" s="16">
        <v>0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2</v>
      </c>
      <c r="J105" s="16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1</v>
      </c>
      <c r="J106" s="16">
        <v>3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2</v>
      </c>
      <c r="J107" s="16">
        <v>1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2</v>
      </c>
      <c r="J108" s="16">
        <v>3</v>
      </c>
      <c r="K108" s="6" t="str">
        <f t="shared" si="3"/>
        <v>2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0</v>
      </c>
      <c r="J109" s="16">
        <v>2</v>
      </c>
      <c r="K109" s="6" t="str">
        <f t="shared" si="3"/>
        <v>2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1</v>
      </c>
      <c r="J110" s="16">
        <v>3</v>
      </c>
      <c r="K110" s="6" t="str">
        <f t="shared" si="3"/>
        <v>2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Gkt8YN6F5fJTaVtc7uRuliZfXUzdvCENIrb+j6QRZdtEk+e6u0wkXjMALHuIuie/uwsgQSkibIgV/5dvL5AMkg==" saltValue="W7h5ugg/I30hGkWC1OBP/g==" spinCount="100000" sheet="1" objects="1" scenarios="1"/>
  <mergeCells count="2">
    <mergeCell ref="A1:M1"/>
    <mergeCell ref="B2:D2"/>
  </mergeCells>
  <conditionalFormatting sqref="I7:I110">
    <cfRule type="expression" dxfId="47" priority="1">
      <formula>AND(I7&lt;&gt;"",J7&lt;&gt;"")</formula>
    </cfRule>
  </conditionalFormatting>
  <conditionalFormatting sqref="J7:J110">
    <cfRule type="expression" dxfId="46" priority="2">
      <formula>AND(J7&lt;&gt;"",#REF!&lt;&gt;"")</formula>
    </cfRule>
  </conditionalFormatting>
  <dataValidations count="1">
    <dataValidation sqref="I7:J110" xr:uid="{00000000-0002-0000-08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0"/>
  <sheetViews>
    <sheetView workbookViewId="0">
      <selection activeCell="M16" sqref="M16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283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0</v>
      </c>
      <c r="J8" s="16">
        <v>1</v>
      </c>
      <c r="K8" s="6" t="str">
        <f t="shared" si="0"/>
        <v>2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1</v>
      </c>
      <c r="J9" s="16">
        <v>1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2</v>
      </c>
      <c r="J10" s="16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0</v>
      </c>
      <c r="J13" s="16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1</v>
      </c>
      <c r="K14" s="6" t="str">
        <f t="shared" si="0"/>
        <v>X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2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1</v>
      </c>
      <c r="J16" s="16">
        <v>2</v>
      </c>
      <c r="K16" s="6" t="str">
        <f t="shared" si="0"/>
        <v>2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3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2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2</v>
      </c>
      <c r="J22" s="16">
        <v>0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3</v>
      </c>
      <c r="J23" s="16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1</v>
      </c>
      <c r="J24" s="16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2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3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1</v>
      </c>
      <c r="J28" s="16">
        <v>1</v>
      </c>
      <c r="K28" s="6" t="str">
        <f t="shared" si="0"/>
        <v>X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2</v>
      </c>
      <c r="J29" s="16">
        <v>1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1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2</v>
      </c>
      <c r="K31" s="6" t="str">
        <f t="shared" si="0"/>
        <v>X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0</v>
      </c>
      <c r="J33" s="16">
        <v>0</v>
      </c>
      <c r="K33" s="6" t="str">
        <f t="shared" si="0"/>
        <v>X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1</v>
      </c>
      <c r="K34" s="6" t="str">
        <f t="shared" si="0"/>
        <v>X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1</v>
      </c>
      <c r="J35" s="16">
        <v>1</v>
      </c>
      <c r="K35" s="6" t="str">
        <f t="shared" si="0"/>
        <v>X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0</v>
      </c>
      <c r="J36" s="16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2</v>
      </c>
      <c r="J38" s="16">
        <v>1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1</v>
      </c>
      <c r="J39" s="16">
        <v>1</v>
      </c>
      <c r="K39" s="6" t="str">
        <f t="shared" ref="K39:K70" si="1">IF(OR(I39="",J39=""),"",IF(I39&gt;J39,"1",IF(I39=J39,"X","2")))</f>
        <v>X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2</v>
      </c>
      <c r="J40" s="16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1</v>
      </c>
      <c r="J41" s="16">
        <v>1</v>
      </c>
      <c r="K41" s="6" t="str">
        <f t="shared" si="1"/>
        <v>X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1</v>
      </c>
      <c r="J42" s="16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2</v>
      </c>
      <c r="J43" s="16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1</v>
      </c>
      <c r="J44" s="16">
        <v>1</v>
      </c>
      <c r="K44" s="6" t="str">
        <f t="shared" si="1"/>
        <v>X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0</v>
      </c>
      <c r="J46" s="16">
        <v>1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1</v>
      </c>
      <c r="J47" s="16">
        <v>1</v>
      </c>
      <c r="K47" s="6" t="str">
        <f t="shared" si="1"/>
        <v>X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2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3</v>
      </c>
      <c r="J51" s="16">
        <v>1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1</v>
      </c>
      <c r="J52" s="16">
        <v>1</v>
      </c>
      <c r="K52" s="6" t="str">
        <f t="shared" si="1"/>
        <v>X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3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1</v>
      </c>
      <c r="J54" s="16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2</v>
      </c>
      <c r="J55" s="16">
        <v>0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0</v>
      </c>
      <c r="J56" s="16">
        <v>0</v>
      </c>
      <c r="K56" s="6" t="str">
        <f t="shared" si="1"/>
        <v>X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3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2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1</v>
      </c>
      <c r="J60" s="16">
        <v>1</v>
      </c>
      <c r="K60" s="6" t="str">
        <f t="shared" si="1"/>
        <v>X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1</v>
      </c>
      <c r="J61" s="16">
        <v>1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2</v>
      </c>
      <c r="J62" s="16">
        <v>1</v>
      </c>
      <c r="K62" s="6" t="str">
        <f t="shared" si="1"/>
        <v>1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2</v>
      </c>
      <c r="J63" s="16">
        <v>2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2</v>
      </c>
      <c r="J64" s="16">
        <v>2</v>
      </c>
      <c r="K64" s="6" t="str">
        <f t="shared" si="1"/>
        <v>X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3</v>
      </c>
      <c r="J65" s="16">
        <v>1</v>
      </c>
      <c r="K65" s="6" t="str">
        <f t="shared" si="1"/>
        <v>1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2</v>
      </c>
      <c r="J66" s="16">
        <v>1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2</v>
      </c>
      <c r="J67" s="16">
        <v>1</v>
      </c>
      <c r="K67" s="6" t="str">
        <f t="shared" si="1"/>
        <v>1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1</v>
      </c>
      <c r="K68" s="6" t="str">
        <f t="shared" si="1"/>
        <v>X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0</v>
      </c>
      <c r="J69" s="16">
        <v>2</v>
      </c>
      <c r="K69" s="6" t="str">
        <f t="shared" si="1"/>
        <v>2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0</v>
      </c>
      <c r="J71" s="16">
        <v>0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0</v>
      </c>
      <c r="J72" s="16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2</v>
      </c>
      <c r="J75" s="16">
        <v>2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1</v>
      </c>
      <c r="J77" s="16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2</v>
      </c>
      <c r="J79" s="16">
        <v>1</v>
      </c>
      <c r="K79" s="6" t="str">
        <f t="shared" si="2"/>
        <v>1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1</v>
      </c>
      <c r="J80" s="16">
        <v>2</v>
      </c>
      <c r="K80" s="6" t="str">
        <f t="shared" si="2"/>
        <v>2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1</v>
      </c>
      <c r="J81" s="16">
        <v>1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2</v>
      </c>
      <c r="J82" s="16">
        <v>0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1</v>
      </c>
      <c r="J84" s="16">
        <v>1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1</v>
      </c>
      <c r="J85" s="16">
        <v>2</v>
      </c>
      <c r="K85" s="6" t="str">
        <f t="shared" si="2"/>
        <v>2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2</v>
      </c>
      <c r="J86" s="16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0</v>
      </c>
      <c r="J87" s="16">
        <v>1</v>
      </c>
      <c r="K87" s="6" t="str">
        <f t="shared" si="2"/>
        <v>2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1</v>
      </c>
      <c r="J88" s="16">
        <v>0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3</v>
      </c>
      <c r="J89" s="16">
        <v>1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2</v>
      </c>
      <c r="J90" s="16">
        <v>1</v>
      </c>
      <c r="K90" s="6" t="str">
        <f t="shared" si="2"/>
        <v>1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1</v>
      </c>
      <c r="J91" s="16">
        <v>2</v>
      </c>
      <c r="K91" s="6" t="str">
        <f t="shared" si="2"/>
        <v>2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0</v>
      </c>
      <c r="J92" s="16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1</v>
      </c>
      <c r="J93" s="16">
        <v>0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0</v>
      </c>
      <c r="J94" s="16">
        <v>1</v>
      </c>
      <c r="K94" s="6" t="str">
        <f t="shared" si="2"/>
        <v>2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2</v>
      </c>
      <c r="J95" s="16">
        <v>0</v>
      </c>
      <c r="K95" s="6" t="str">
        <f t="shared" si="2"/>
        <v>1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2</v>
      </c>
      <c r="K96" s="6" t="str">
        <f t="shared" si="2"/>
        <v>2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3</v>
      </c>
      <c r="J97" s="16">
        <v>1</v>
      </c>
      <c r="K97" s="6" t="str">
        <f t="shared" si="2"/>
        <v>1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1</v>
      </c>
      <c r="J98" s="16">
        <v>1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1</v>
      </c>
      <c r="J99" s="16">
        <v>2</v>
      </c>
      <c r="K99" s="6" t="str">
        <f t="shared" si="2"/>
        <v>2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2</v>
      </c>
      <c r="J100" s="16">
        <v>2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0</v>
      </c>
      <c r="J101" s="16">
        <v>1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3</v>
      </c>
      <c r="J102" s="16">
        <v>0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2</v>
      </c>
      <c r="J103" s="16">
        <v>1</v>
      </c>
      <c r="K103" s="6" t="str">
        <f t="shared" ref="K103:K110" si="3">IF(OR(I103="",J103=""),"",IF(I103&gt;J103,"1",IF(I103=J103,"X","2")))</f>
        <v>1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1</v>
      </c>
      <c r="J104" s="16">
        <v>1</v>
      </c>
      <c r="K104" s="6" t="str">
        <f t="shared" si="3"/>
        <v>X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0</v>
      </c>
      <c r="J105" s="16">
        <v>1</v>
      </c>
      <c r="K105" s="6" t="str">
        <f t="shared" si="3"/>
        <v>2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1</v>
      </c>
      <c r="J106" s="16">
        <v>1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3</v>
      </c>
      <c r="J107" s="16">
        <v>1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1</v>
      </c>
      <c r="J108" s="16">
        <v>2</v>
      </c>
      <c r="K108" s="6" t="str">
        <f t="shared" si="3"/>
        <v>2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1</v>
      </c>
      <c r="J109" s="16">
        <v>0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2</v>
      </c>
      <c r="J110" s="16">
        <v>2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rHvE6B64QX4lb47BNpSbI6hHPIpFsv+vgt+1mE4MuptkgfbwWOT9v48I3soKYNlNpl35Ctm84C9t3i4ykzt7sQ==" saltValue="+u0mxhUQstB706tUukdxOQ==" spinCount="100000" sheet="1" objects="1" scenarios="1"/>
  <mergeCells count="2">
    <mergeCell ref="A1:M1"/>
    <mergeCell ref="B2:D2"/>
  </mergeCells>
  <conditionalFormatting sqref="I7:I110">
    <cfRule type="expression" dxfId="43" priority="1">
      <formula>AND(I7&lt;&gt;"",J7&lt;&gt;"")</formula>
    </cfRule>
  </conditionalFormatting>
  <conditionalFormatting sqref="J7:J110">
    <cfRule type="expression" dxfId="42" priority="2">
      <formula>AND(J7&lt;&gt;"",#REF!&lt;&gt;"")</formula>
    </cfRule>
  </conditionalFormatting>
  <dataValidations count="1">
    <dataValidation sqref="I7:J110" xr:uid="{00000000-0002-0000-09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0"/>
  <sheetViews>
    <sheetView workbookViewId="0">
      <selection activeCell="J19" sqref="J19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284</v>
      </c>
      <c r="C2" s="31"/>
      <c r="D2" s="31"/>
      <c r="F2" s="2" t="s">
        <v>271</v>
      </c>
      <c r="G2" s="7">
        <f>SUM(L7:L110)</f>
        <v>3</v>
      </c>
      <c r="H2" s="7"/>
      <c r="I2" s="7" t="s">
        <v>7</v>
      </c>
      <c r="J2" s="7">
        <f>SUMPRODUCT(--(I7:I110=Matchschema!$K$2:$K$105),--(J7:J110=Matchschema!$L$2:$L$105),--(Matchschema!$K$2:$K$105&lt;&gt;""))</f>
        <v>1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3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0</v>
      </c>
      <c r="J8" s="16">
        <v>1</v>
      </c>
      <c r="K8" s="6" t="str">
        <f t="shared" si="0"/>
        <v>2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1</v>
      </c>
      <c r="J9" s="16">
        <v>1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1</v>
      </c>
      <c r="K10" s="6" t="str">
        <f t="shared" si="0"/>
        <v>X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2</v>
      </c>
      <c r="J12" s="16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0</v>
      </c>
      <c r="J13" s="16">
        <v>0</v>
      </c>
      <c r="K13" s="6" t="str">
        <f t="shared" si="0"/>
        <v>X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4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2</v>
      </c>
      <c r="J16" s="16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0</v>
      </c>
      <c r="J17" s="16">
        <v>1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1</v>
      </c>
      <c r="J18" s="16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3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2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1</v>
      </c>
      <c r="K21" s="6" t="str">
        <f t="shared" si="0"/>
        <v>X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1</v>
      </c>
      <c r="J22" s="16">
        <v>1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2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1</v>
      </c>
      <c r="J28" s="16">
        <v>1</v>
      </c>
      <c r="K28" s="6" t="str">
        <f t="shared" si="0"/>
        <v>X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1</v>
      </c>
      <c r="J29" s="16">
        <v>1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1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1</v>
      </c>
      <c r="J31" s="16">
        <v>1</v>
      </c>
      <c r="K31" s="6" t="str">
        <f t="shared" si="0"/>
        <v>X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1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0</v>
      </c>
      <c r="J33" s="16">
        <v>1</v>
      </c>
      <c r="K33" s="6" t="str">
        <f t="shared" si="0"/>
        <v>2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0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1</v>
      </c>
      <c r="J35" s="16">
        <v>1</v>
      </c>
      <c r="K35" s="6" t="str">
        <f t="shared" si="0"/>
        <v>X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0</v>
      </c>
      <c r="J36" s="16">
        <v>0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1</v>
      </c>
      <c r="J38" s="16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3</v>
      </c>
      <c r="J39" s="16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3</v>
      </c>
      <c r="J40" s="16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2</v>
      </c>
      <c r="J41" s="16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0</v>
      </c>
      <c r="J42" s="16">
        <v>1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2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2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0</v>
      </c>
      <c r="J46" s="16">
        <v>0</v>
      </c>
      <c r="K46" s="6" t="str">
        <f t="shared" si="1"/>
        <v>X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2</v>
      </c>
      <c r="J47" s="16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0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1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2</v>
      </c>
      <c r="J52" s="16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2</v>
      </c>
      <c r="J54" s="16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1</v>
      </c>
      <c r="J55" s="16">
        <v>0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1</v>
      </c>
      <c r="J56" s="16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0</v>
      </c>
      <c r="J57" s="16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1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1</v>
      </c>
      <c r="J60" s="16">
        <v>1</v>
      </c>
      <c r="K60" s="6" t="str">
        <f t="shared" si="1"/>
        <v>X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2</v>
      </c>
      <c r="J61" s="16">
        <v>2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0</v>
      </c>
      <c r="J64" s="16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1</v>
      </c>
      <c r="J67" s="16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1</v>
      </c>
      <c r="K68" s="6" t="str">
        <f t="shared" si="1"/>
        <v>X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0</v>
      </c>
      <c r="J69" s="16">
        <v>1</v>
      </c>
      <c r="K69" s="6" t="str">
        <f t="shared" si="1"/>
        <v>2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1</v>
      </c>
      <c r="J71" s="16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0</v>
      </c>
      <c r="J72" s="16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1</v>
      </c>
      <c r="J74" s="16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0</v>
      </c>
      <c r="J75" s="16">
        <v>1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0</v>
      </c>
      <c r="J77" s="16">
        <v>1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2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1</v>
      </c>
      <c r="J79" s="16">
        <v>1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2</v>
      </c>
      <c r="J80" s="16">
        <v>0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3</v>
      </c>
      <c r="J81" s="16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1</v>
      </c>
      <c r="J82" s="16">
        <v>0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1</v>
      </c>
      <c r="J83" s="16">
        <v>1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2</v>
      </c>
      <c r="J84" s="16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2</v>
      </c>
      <c r="J85" s="16">
        <v>0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2</v>
      </c>
      <c r="J86" s="16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2</v>
      </c>
      <c r="J87" s="16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2</v>
      </c>
      <c r="J88" s="16">
        <v>0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2</v>
      </c>
      <c r="J89" s="16">
        <v>0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1</v>
      </c>
      <c r="J90" s="16">
        <v>1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2</v>
      </c>
      <c r="J91" s="16">
        <v>0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1</v>
      </c>
      <c r="J92" s="16">
        <v>1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2</v>
      </c>
      <c r="J93" s="16">
        <v>0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3</v>
      </c>
      <c r="J94" s="16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1</v>
      </c>
      <c r="J95" s="16">
        <v>0</v>
      </c>
      <c r="K95" s="6" t="str">
        <f t="shared" si="2"/>
        <v>1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1</v>
      </c>
      <c r="J96" s="16">
        <v>0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1</v>
      </c>
      <c r="J97" s="16">
        <v>0</v>
      </c>
      <c r="K97" s="6" t="str">
        <f t="shared" si="2"/>
        <v>1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1</v>
      </c>
      <c r="J98" s="16">
        <v>0</v>
      </c>
      <c r="K98" s="6" t="str">
        <f t="shared" si="2"/>
        <v>1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1</v>
      </c>
      <c r="J99" s="16">
        <v>0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1</v>
      </c>
      <c r="J100" s="16">
        <v>0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1</v>
      </c>
      <c r="J101" s="16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1</v>
      </c>
      <c r="J102" s="16">
        <v>0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2</v>
      </c>
      <c r="J103" s="16">
        <v>0</v>
      </c>
      <c r="K103" s="6" t="str">
        <f t="shared" ref="K103:K110" si="3">IF(OR(I103="",J103=""),"",IF(I103&gt;J103,"1",IF(I103=J103,"X","2")))</f>
        <v>1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1</v>
      </c>
      <c r="J104" s="16">
        <v>0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1</v>
      </c>
      <c r="J105" s="16">
        <v>2</v>
      </c>
      <c r="K105" s="6" t="str">
        <f t="shared" si="3"/>
        <v>2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2</v>
      </c>
      <c r="J106" s="16">
        <v>1</v>
      </c>
      <c r="K106" s="6" t="str">
        <f t="shared" si="3"/>
        <v>1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1</v>
      </c>
      <c r="J107" s="16">
        <v>0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2</v>
      </c>
      <c r="J108" s="16">
        <v>0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1</v>
      </c>
      <c r="J109" s="16">
        <v>1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2</v>
      </c>
      <c r="J110" s="16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TVwvM3xWBBFkT8EQ/EyYwvCqR6qbjbObcl50XAS1xRPaaasmdaCDKI+n2X5LnvTmvaKgtg4hMgDLx95U1GhtMg==" saltValue="A4pkinkhvr9JFL2mMXq9aw==" spinCount="100000" sheet="1" objects="1" scenarios="1"/>
  <mergeCells count="2">
    <mergeCell ref="A1:M1"/>
    <mergeCell ref="B2:D2"/>
  </mergeCells>
  <conditionalFormatting sqref="I7:I110">
    <cfRule type="expression" dxfId="39" priority="1">
      <formula>AND(I7&lt;&gt;"",J7&lt;&gt;"")</formula>
    </cfRule>
  </conditionalFormatting>
  <conditionalFormatting sqref="J7:J110">
    <cfRule type="expression" dxfId="38" priority="2">
      <formula>AND(J7&lt;&gt;"",#REF!&lt;&gt;"")</formula>
    </cfRule>
  </conditionalFormatting>
  <dataValidations count="1">
    <dataValidation sqref="I7:J110" xr:uid="{00000000-0002-0000-0A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0"/>
  <sheetViews>
    <sheetView workbookViewId="0">
      <selection activeCell="K26" sqref="K26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285</v>
      </c>
      <c r="C2" s="31"/>
      <c r="D2" s="31"/>
      <c r="F2" s="2" t="s">
        <v>271</v>
      </c>
      <c r="G2" s="7">
        <f>SUM(L7:L110)</f>
        <v>3</v>
      </c>
      <c r="H2" s="7"/>
      <c r="I2" s="7" t="s">
        <v>7</v>
      </c>
      <c r="J2" s="7">
        <f>SUMPRODUCT(--(I7:I110=Matchschema!$K$2:$K$105),--(J7:J110=Matchschema!$L$2:$L$105),--(Matchschema!$K$2:$K$105&lt;&gt;""))</f>
        <v>1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9">
        <v>2</v>
      </c>
      <c r="J7" s="19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3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9">
        <v>1</v>
      </c>
      <c r="J8" s="19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9">
        <v>1</v>
      </c>
      <c r="J9" s="19">
        <v>1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9">
        <v>2</v>
      </c>
      <c r="J10" s="19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9">
        <v>0</v>
      </c>
      <c r="J11" s="19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9">
        <v>2</v>
      </c>
      <c r="J12" s="19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9">
        <v>0</v>
      </c>
      <c r="J13" s="19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9">
        <v>1</v>
      </c>
      <c r="J14" s="19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9">
        <v>3</v>
      </c>
      <c r="J15" s="19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9">
        <v>2</v>
      </c>
      <c r="J16" s="19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9">
        <v>1</v>
      </c>
      <c r="J17" s="19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9">
        <v>2</v>
      </c>
      <c r="J18" s="19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9">
        <v>3</v>
      </c>
      <c r="J19" s="19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9">
        <v>2</v>
      </c>
      <c r="J20" s="19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9">
        <v>0</v>
      </c>
      <c r="J21" s="19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9">
        <v>2</v>
      </c>
      <c r="J22" s="19">
        <v>0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9">
        <v>2</v>
      </c>
      <c r="J23" s="19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9">
        <v>0</v>
      </c>
      <c r="J24" s="19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9">
        <v>2</v>
      </c>
      <c r="J25" s="19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9">
        <v>2</v>
      </c>
      <c r="J26" s="19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9">
        <v>3</v>
      </c>
      <c r="J27" s="19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9">
        <v>2</v>
      </c>
      <c r="J28" s="19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9">
        <v>2</v>
      </c>
      <c r="J29" s="19">
        <v>1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9">
        <v>0</v>
      </c>
      <c r="J30" s="19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9">
        <v>2</v>
      </c>
      <c r="J31" s="19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9">
        <v>2</v>
      </c>
      <c r="J32" s="19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9">
        <v>2</v>
      </c>
      <c r="J33" s="19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9">
        <v>2</v>
      </c>
      <c r="J34" s="19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9">
        <v>2</v>
      </c>
      <c r="J35" s="19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9">
        <v>1</v>
      </c>
      <c r="J36" s="19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9">
        <v>3</v>
      </c>
      <c r="J37" s="19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9">
        <v>1</v>
      </c>
      <c r="J38" s="19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9">
        <v>2</v>
      </c>
      <c r="J39" s="19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9">
        <v>2</v>
      </c>
      <c r="J40" s="19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9">
        <v>3</v>
      </c>
      <c r="J41" s="19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9">
        <v>0</v>
      </c>
      <c r="J42" s="19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9">
        <v>2</v>
      </c>
      <c r="J43" s="19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9">
        <v>2</v>
      </c>
      <c r="J44" s="19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9">
        <v>2</v>
      </c>
      <c r="J45" s="19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9">
        <v>0</v>
      </c>
      <c r="J46" s="19">
        <v>1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9">
        <v>2</v>
      </c>
      <c r="J47" s="19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9">
        <v>3</v>
      </c>
      <c r="J48" s="19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9">
        <v>1</v>
      </c>
      <c r="J49" s="19">
        <v>1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9">
        <v>0</v>
      </c>
      <c r="J50" s="19">
        <v>1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9">
        <v>2</v>
      </c>
      <c r="J51" s="19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9">
        <v>2</v>
      </c>
      <c r="J52" s="19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9">
        <v>0</v>
      </c>
      <c r="J53" s="19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9">
        <v>2</v>
      </c>
      <c r="J54" s="19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9">
        <v>1</v>
      </c>
      <c r="J55" s="19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9">
        <v>2</v>
      </c>
      <c r="J56" s="19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9">
        <v>0</v>
      </c>
      <c r="J57" s="19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9">
        <v>3</v>
      </c>
      <c r="J58" s="19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9">
        <v>1</v>
      </c>
      <c r="J59" s="19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9">
        <v>0</v>
      </c>
      <c r="J60" s="19">
        <v>1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9">
        <v>0</v>
      </c>
      <c r="J61" s="19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9">
        <v>1</v>
      </c>
      <c r="J62" s="19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9">
        <v>1</v>
      </c>
      <c r="J63" s="19">
        <v>2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9">
        <v>0</v>
      </c>
      <c r="J64" s="19">
        <v>3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9">
        <v>1</v>
      </c>
      <c r="J65" s="19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9">
        <v>1</v>
      </c>
      <c r="J66" s="19">
        <v>0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9">
        <v>1</v>
      </c>
      <c r="J67" s="19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9">
        <v>2</v>
      </c>
      <c r="J68" s="19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9">
        <v>1</v>
      </c>
      <c r="J69" s="19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9">
        <v>1</v>
      </c>
      <c r="J70" s="19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9">
        <v>2</v>
      </c>
      <c r="J71" s="19">
        <v>1</v>
      </c>
      <c r="K71" s="6" t="str">
        <f t="shared" ref="K71:K102" si="2">IF(OR(I71="",J71=""),"",IF(I71&gt;J71,"1",IF(I71=J71,"X","2")))</f>
        <v>1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9">
        <v>0</v>
      </c>
      <c r="J72" s="19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9">
        <v>0</v>
      </c>
      <c r="J73" s="19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9">
        <v>1</v>
      </c>
      <c r="J74" s="19">
        <v>1</v>
      </c>
      <c r="K74" s="6" t="str">
        <f t="shared" si="2"/>
        <v>X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9">
        <v>1</v>
      </c>
      <c r="J75" s="19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9">
        <v>2</v>
      </c>
      <c r="J76" s="19">
        <v>1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9">
        <v>1</v>
      </c>
      <c r="J77" s="19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9">
        <v>0</v>
      </c>
      <c r="J78" s="19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9">
        <v>1</v>
      </c>
      <c r="J79" s="19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9">
        <v>2</v>
      </c>
      <c r="J80" s="19">
        <v>0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9">
        <v>2</v>
      </c>
      <c r="J81" s="19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9">
        <v>2</v>
      </c>
      <c r="J82" s="19">
        <v>1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9">
        <v>1</v>
      </c>
      <c r="J83" s="19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9">
        <v>3</v>
      </c>
      <c r="J84" s="19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9">
        <v>2</v>
      </c>
      <c r="J85" s="19">
        <v>1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9">
        <v>2</v>
      </c>
      <c r="J86" s="19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9">
        <v>2</v>
      </c>
      <c r="J87" s="19">
        <v>1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9">
        <v>2</v>
      </c>
      <c r="J88" s="19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9">
        <v>2</v>
      </c>
      <c r="J89" s="19">
        <v>0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9">
        <v>1</v>
      </c>
      <c r="J90" s="19">
        <v>2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9">
        <v>2</v>
      </c>
      <c r="J91" s="19">
        <v>1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9">
        <v>2</v>
      </c>
      <c r="J92" s="19">
        <v>1</v>
      </c>
      <c r="K92" s="6" t="str">
        <f t="shared" si="2"/>
        <v>1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9">
        <v>2</v>
      </c>
      <c r="J93" s="19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9">
        <v>2</v>
      </c>
      <c r="J94" s="19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9">
        <v>1</v>
      </c>
      <c r="J95" s="19">
        <v>2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9">
        <v>2</v>
      </c>
      <c r="J96" s="19">
        <v>1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9">
        <v>1</v>
      </c>
      <c r="J97" s="19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9">
        <v>1</v>
      </c>
      <c r="J98" s="19">
        <v>2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9">
        <v>2</v>
      </c>
      <c r="J99" s="19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9">
        <v>2</v>
      </c>
      <c r="J100" s="19">
        <v>1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9">
        <v>0</v>
      </c>
      <c r="J101" s="19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9">
        <v>1</v>
      </c>
      <c r="J102" s="19">
        <v>2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9">
        <v>1</v>
      </c>
      <c r="J103" s="19">
        <v>2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9">
        <v>2</v>
      </c>
      <c r="J104" s="19">
        <v>1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9">
        <v>2</v>
      </c>
      <c r="J105" s="19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9">
        <v>1</v>
      </c>
      <c r="J106" s="19">
        <v>2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9">
        <v>1</v>
      </c>
      <c r="J107" s="19">
        <v>2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9">
        <v>2</v>
      </c>
      <c r="J108" s="19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9">
        <v>2</v>
      </c>
      <c r="J109" s="19">
        <v>1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9">
        <v>2</v>
      </c>
      <c r="J110" s="19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K4sxQ+z5x11ZLppLHcHOLfbEyLdFFLelVcho72rcR6Sjwq3Yf4lfQp81vhQjF+PYCD8/Y2hQeZl+mFUL4PgsTg==" saltValue="VeunXILWv/fdF+1C0/PVDw==" spinCount="100000" sheet="1" objects="1" scenarios="1"/>
  <mergeCells count="2">
    <mergeCell ref="A1:M1"/>
    <mergeCell ref="B2:D2"/>
  </mergeCells>
  <dataValidations count="1">
    <dataValidation sqref="I7:J110" xr:uid="{00000000-0002-0000-0B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10"/>
  <sheetViews>
    <sheetView workbookViewId="0">
      <selection activeCell="L12" sqref="L12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286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>
        <v>2</v>
      </c>
      <c r="J7" s="5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>
        <v>1</v>
      </c>
      <c r="J8" s="5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>
        <v>1</v>
      </c>
      <c r="J9" s="5">
        <v>1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>
        <v>2</v>
      </c>
      <c r="J10" s="5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>
        <v>1</v>
      </c>
      <c r="J11" s="5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>
        <v>2</v>
      </c>
      <c r="J12" s="5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>
        <v>1</v>
      </c>
      <c r="J13" s="5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>
        <v>1</v>
      </c>
      <c r="J14" s="5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>
        <v>2</v>
      </c>
      <c r="J15" s="5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>
        <v>2</v>
      </c>
      <c r="J16" s="5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>
        <v>1</v>
      </c>
      <c r="J17" s="5">
        <v>2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>
        <v>2</v>
      </c>
      <c r="J18" s="5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>
        <v>2</v>
      </c>
      <c r="J19" s="5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>
        <v>2</v>
      </c>
      <c r="J20" s="5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>
        <v>1</v>
      </c>
      <c r="J21" s="5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>
        <v>1</v>
      </c>
      <c r="J22" s="5">
        <v>1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>
        <v>2</v>
      </c>
      <c r="J23" s="5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>
        <v>0</v>
      </c>
      <c r="J24" s="5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>
        <v>2</v>
      </c>
      <c r="J25" s="5">
        <v>1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>
        <v>2</v>
      </c>
      <c r="J26" s="5">
        <v>1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>
        <v>2</v>
      </c>
      <c r="J27" s="5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>
        <v>2</v>
      </c>
      <c r="J28" s="5">
        <v>0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>
        <v>2</v>
      </c>
      <c r="J29" s="5">
        <v>1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>
        <v>1</v>
      </c>
      <c r="J30" s="5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>
        <v>2</v>
      </c>
      <c r="J31" s="5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>
        <v>1</v>
      </c>
      <c r="J32" s="5">
        <v>1</v>
      </c>
      <c r="K32" s="6" t="str">
        <f t="shared" si="0"/>
        <v>X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>
        <v>1</v>
      </c>
      <c r="J33" s="5">
        <v>1</v>
      </c>
      <c r="K33" s="6" t="str">
        <f t="shared" si="0"/>
        <v>X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>
        <v>2</v>
      </c>
      <c r="J34" s="5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>
        <v>2</v>
      </c>
      <c r="J35" s="5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>
        <v>1</v>
      </c>
      <c r="J36" s="5">
        <v>1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>
        <v>2</v>
      </c>
      <c r="J37" s="5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>
        <v>1</v>
      </c>
      <c r="J38" s="5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>
        <v>2</v>
      </c>
      <c r="J39" s="5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>
        <v>2</v>
      </c>
      <c r="J40" s="5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>
        <v>2</v>
      </c>
      <c r="J41" s="5">
        <v>1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>
        <v>1</v>
      </c>
      <c r="J42" s="5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>
        <v>2</v>
      </c>
      <c r="J43" s="5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>
        <v>2</v>
      </c>
      <c r="J44" s="5">
        <v>1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>
        <v>2</v>
      </c>
      <c r="J45" s="5">
        <v>1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>
        <v>1</v>
      </c>
      <c r="J46" s="5">
        <v>1</v>
      </c>
      <c r="K46" s="6" t="str">
        <f t="shared" si="1"/>
        <v>X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>
        <v>2</v>
      </c>
      <c r="J47" s="5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>
        <v>2</v>
      </c>
      <c r="J48" s="5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>
        <v>1</v>
      </c>
      <c r="J49" s="5">
        <v>1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>
        <v>1</v>
      </c>
      <c r="J50" s="5">
        <v>1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>
        <v>2</v>
      </c>
      <c r="J51" s="5">
        <v>1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>
        <v>2</v>
      </c>
      <c r="J52" s="5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>
        <v>1</v>
      </c>
      <c r="J53" s="5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>
        <v>2</v>
      </c>
      <c r="J54" s="5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>
        <v>1</v>
      </c>
      <c r="J55" s="5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>
        <v>2</v>
      </c>
      <c r="J56" s="5">
        <v>1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>
        <v>1</v>
      </c>
      <c r="J57" s="5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>
        <v>2</v>
      </c>
      <c r="J58" s="5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>
        <v>1</v>
      </c>
      <c r="J59" s="5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>
        <v>1</v>
      </c>
      <c r="J60" s="5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>
        <v>1</v>
      </c>
      <c r="J61" s="5">
        <v>1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>
        <v>1</v>
      </c>
      <c r="J62" s="5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>
        <v>1</v>
      </c>
      <c r="J63" s="5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>
        <v>1</v>
      </c>
      <c r="J64" s="5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>
        <v>1</v>
      </c>
      <c r="J65" s="5">
        <v>2</v>
      </c>
      <c r="K65" s="6" t="str">
        <f t="shared" si="1"/>
        <v>2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>
        <v>1</v>
      </c>
      <c r="J66" s="5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>
        <v>1</v>
      </c>
      <c r="J67" s="5">
        <v>1</v>
      </c>
      <c r="K67" s="6" t="str">
        <f t="shared" si="1"/>
        <v>X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>
        <v>2</v>
      </c>
      <c r="J68" s="5">
        <v>1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>
        <v>1</v>
      </c>
      <c r="J69" s="5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>
        <v>1</v>
      </c>
      <c r="J70" s="5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>
        <v>1</v>
      </c>
      <c r="J71" s="5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>
        <v>1</v>
      </c>
      <c r="J72" s="5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>
        <v>0</v>
      </c>
      <c r="J73" s="5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>
        <v>2</v>
      </c>
      <c r="J74" s="5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>
        <v>1</v>
      </c>
      <c r="J75" s="5">
        <v>1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>
        <v>1</v>
      </c>
      <c r="J76" s="5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>
        <v>1</v>
      </c>
      <c r="J77" s="5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>
        <v>0</v>
      </c>
      <c r="J78" s="5">
        <v>2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>
        <v>1</v>
      </c>
      <c r="J79" s="5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>
        <v>2</v>
      </c>
      <c r="J80" s="5">
        <v>1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>
        <v>2</v>
      </c>
      <c r="J81" s="5">
        <v>1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>
        <v>2</v>
      </c>
      <c r="J82" s="5">
        <v>1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>
        <v>1</v>
      </c>
      <c r="J83" s="5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>
        <v>2</v>
      </c>
      <c r="J84" s="5">
        <v>1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>
        <v>2</v>
      </c>
      <c r="J85" s="5">
        <v>1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>
        <v>2</v>
      </c>
      <c r="J86" s="5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>
        <v>2</v>
      </c>
      <c r="J87" s="5">
        <v>1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>
        <v>2</v>
      </c>
      <c r="J88" s="5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>
        <v>2</v>
      </c>
      <c r="J89" s="5">
        <v>0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>
        <v>2</v>
      </c>
      <c r="J90" s="5">
        <v>1</v>
      </c>
      <c r="K90" s="6" t="str">
        <f t="shared" si="2"/>
        <v>1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>
        <v>2</v>
      </c>
      <c r="J91" s="5">
        <v>1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>
        <v>2</v>
      </c>
      <c r="J92" s="5">
        <v>1</v>
      </c>
      <c r="K92" s="6" t="str">
        <f t="shared" si="2"/>
        <v>1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>
        <v>2</v>
      </c>
      <c r="J93" s="5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>
        <v>2</v>
      </c>
      <c r="J94" s="5">
        <v>1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>
        <v>1</v>
      </c>
      <c r="J95" s="5">
        <v>2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>
        <v>2</v>
      </c>
      <c r="J96" s="5">
        <v>1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>
        <v>1</v>
      </c>
      <c r="J97" s="5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>
        <v>1</v>
      </c>
      <c r="J98" s="5">
        <v>2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>
        <v>2</v>
      </c>
      <c r="J99" s="5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>
        <v>2</v>
      </c>
      <c r="J100" s="5">
        <v>1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>
        <v>1</v>
      </c>
      <c r="J101" s="5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>
        <v>1</v>
      </c>
      <c r="J102" s="5">
        <v>2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>
        <v>1</v>
      </c>
      <c r="J103" s="5">
        <v>2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>
        <v>2</v>
      </c>
      <c r="J104" s="5">
        <v>1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>
        <v>2</v>
      </c>
      <c r="J105" s="5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>
        <v>1</v>
      </c>
      <c r="J106" s="5">
        <v>2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>
        <v>1</v>
      </c>
      <c r="J107" s="5">
        <v>2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>
        <v>2</v>
      </c>
      <c r="J108" s="5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>
        <v>2</v>
      </c>
      <c r="J109" s="5">
        <v>1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>
        <v>2</v>
      </c>
      <c r="J110" s="5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m5IXImCJyC0EHkM5GTBvLiqLbNEa9xgG9ef9NLetr/1qNv+JeI63m906rqxE4G0ceJt0C1srXkRpX4o7EdtrOg==" saltValue="fURU5/GjBNndPyU2Jvqrdg==" spinCount="100000" sheet="1" objects="1" scenarios="1"/>
  <mergeCells count="2">
    <mergeCell ref="A1:M1"/>
    <mergeCell ref="B2:D2"/>
  </mergeCells>
  <dataValidations count="1">
    <dataValidation sqref="I7:J110" xr:uid="{00000000-0002-0000-0C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0"/>
  <sheetViews>
    <sheetView workbookViewId="0">
      <selection activeCell="L34" sqref="L34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287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21">
        <v>3</v>
      </c>
      <c r="J7" s="21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21">
        <v>1</v>
      </c>
      <c r="J8" s="21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21">
        <v>2</v>
      </c>
      <c r="J9" s="21">
        <v>1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21">
        <v>1</v>
      </c>
      <c r="J10" s="21">
        <v>1</v>
      </c>
      <c r="K10" s="6" t="str">
        <f t="shared" si="0"/>
        <v>X</v>
      </c>
      <c r="L10" s="8" t="str">
        <f>IF(Matchschema!$K5="","",IF(AND(I10=Matchschema!$K5,J10=Matchschema!$L5),Regler!$B$4,IF(K10=Matchschema!$M5,Regler!$B$5,0)))</f>
        <v/>
      </c>
      <c r="M10" s="3"/>
    </row>
    <row r="11" spans="1:13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21">
        <v>0</v>
      </c>
      <c r="J11" s="21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21">
        <v>2</v>
      </c>
      <c r="J12" s="21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21">
        <v>1</v>
      </c>
      <c r="J13" s="21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21">
        <v>0</v>
      </c>
      <c r="J14" s="21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21">
        <v>4</v>
      </c>
      <c r="J15" s="21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21">
        <v>2</v>
      </c>
      <c r="J16" s="21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21">
        <v>2</v>
      </c>
      <c r="J17" s="21">
        <v>1</v>
      </c>
      <c r="K17" s="6" t="str">
        <f t="shared" si="0"/>
        <v>1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21">
        <v>2</v>
      </c>
      <c r="J18" s="21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21">
        <v>4</v>
      </c>
      <c r="J19" s="21">
        <v>1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21">
        <v>2</v>
      </c>
      <c r="J20" s="21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21">
        <v>0</v>
      </c>
      <c r="J21" s="21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21">
        <v>2</v>
      </c>
      <c r="J22" s="21">
        <v>1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21">
        <v>2</v>
      </c>
      <c r="J23" s="21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21">
        <v>0</v>
      </c>
      <c r="J24" s="21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21">
        <v>2</v>
      </c>
      <c r="J25" s="21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21">
        <v>2</v>
      </c>
      <c r="J26" s="21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21">
        <v>3</v>
      </c>
      <c r="J27" s="21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21">
        <v>2</v>
      </c>
      <c r="J28" s="21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21">
        <v>2</v>
      </c>
      <c r="J29" s="21">
        <v>0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21">
        <v>0</v>
      </c>
      <c r="J30" s="21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21">
        <v>2</v>
      </c>
      <c r="J31" s="21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21">
        <v>2</v>
      </c>
      <c r="J32" s="21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21">
        <v>2</v>
      </c>
      <c r="J33" s="21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21">
        <v>2</v>
      </c>
      <c r="J34" s="21">
        <v>0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21">
        <v>2</v>
      </c>
      <c r="J35" s="21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21">
        <v>1</v>
      </c>
      <c r="J36" s="21">
        <v>1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21">
        <v>4</v>
      </c>
      <c r="J37" s="21">
        <v>1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21">
        <v>1</v>
      </c>
      <c r="J38" s="21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21">
        <v>2</v>
      </c>
      <c r="J39" s="21">
        <v>0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21">
        <v>2</v>
      </c>
      <c r="J40" s="21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21">
        <v>2</v>
      </c>
      <c r="J41" s="21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21">
        <v>0</v>
      </c>
      <c r="J42" s="21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21">
        <v>4</v>
      </c>
      <c r="J43" s="21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21">
        <v>3</v>
      </c>
      <c r="J44" s="21">
        <v>1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21">
        <v>3</v>
      </c>
      <c r="J45" s="21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21">
        <v>0</v>
      </c>
      <c r="J46" s="21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21">
        <v>2</v>
      </c>
      <c r="J47" s="21">
        <v>0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21">
        <v>4</v>
      </c>
      <c r="J48" s="21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21">
        <v>2</v>
      </c>
      <c r="J49" s="21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21">
        <v>1</v>
      </c>
      <c r="J50" s="21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21">
        <v>4</v>
      </c>
      <c r="J51" s="21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21">
        <v>3</v>
      </c>
      <c r="J52" s="21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21">
        <v>0</v>
      </c>
      <c r="J53" s="21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21">
        <v>2</v>
      </c>
      <c r="J54" s="21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21">
        <v>2</v>
      </c>
      <c r="J55" s="21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21">
        <v>2</v>
      </c>
      <c r="J56" s="21">
        <v>1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21">
        <v>0</v>
      </c>
      <c r="J57" s="21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21">
        <v>2</v>
      </c>
      <c r="J58" s="21">
        <v>1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21">
        <v>1</v>
      </c>
      <c r="J59" s="21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21">
        <v>1</v>
      </c>
      <c r="J60" s="21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21">
        <v>0</v>
      </c>
      <c r="J61" s="21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21">
        <v>1</v>
      </c>
      <c r="J62" s="21">
        <v>1</v>
      </c>
      <c r="K62" s="6" t="str">
        <f t="shared" si="1"/>
        <v>X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21">
        <v>2</v>
      </c>
      <c r="J63" s="21">
        <v>1</v>
      </c>
      <c r="K63" s="6" t="str">
        <f t="shared" si="1"/>
        <v>1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21">
        <v>0</v>
      </c>
      <c r="J64" s="21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21">
        <v>2</v>
      </c>
      <c r="J65" s="21">
        <v>1</v>
      </c>
      <c r="K65" s="6" t="str">
        <f t="shared" si="1"/>
        <v>1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21">
        <v>2</v>
      </c>
      <c r="J66" s="21">
        <v>0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21">
        <v>1</v>
      </c>
      <c r="J67" s="21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21">
        <v>2</v>
      </c>
      <c r="J68" s="21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21">
        <v>1</v>
      </c>
      <c r="J69" s="21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21">
        <v>0</v>
      </c>
      <c r="J70" s="21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21">
        <v>2</v>
      </c>
      <c r="J71" s="21">
        <v>1</v>
      </c>
      <c r="K71" s="6" t="str">
        <f t="shared" ref="K71:K102" si="2">IF(OR(I71="",J71=""),"",IF(I71&gt;J71,"1",IF(I71=J71,"X","2")))</f>
        <v>1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21">
        <v>0</v>
      </c>
      <c r="J72" s="21">
        <v>4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21">
        <v>1</v>
      </c>
      <c r="J73" s="21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21">
        <v>2</v>
      </c>
      <c r="J74" s="21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21">
        <v>1</v>
      </c>
      <c r="J75" s="21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21">
        <v>2</v>
      </c>
      <c r="J76" s="21">
        <v>1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21">
        <v>1</v>
      </c>
      <c r="J77" s="21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21">
        <v>0</v>
      </c>
      <c r="J78" s="21">
        <v>4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21">
        <v>1</v>
      </c>
      <c r="J79" s="21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21">
        <v>2</v>
      </c>
      <c r="J80" s="21">
        <v>1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21">
        <v>2</v>
      </c>
      <c r="J81" s="21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21">
        <v>2</v>
      </c>
      <c r="J82" s="21">
        <v>1</v>
      </c>
      <c r="K82" s="6" t="str">
        <f t="shared" si="2"/>
        <v>1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21">
        <v>1</v>
      </c>
      <c r="J83" s="21">
        <v>2</v>
      </c>
      <c r="K83" s="6" t="str">
        <f t="shared" si="2"/>
        <v>2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21">
        <v>4</v>
      </c>
      <c r="J84" s="21">
        <v>1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21">
        <v>2</v>
      </c>
      <c r="J85" s="21">
        <v>1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21">
        <v>3</v>
      </c>
      <c r="J86" s="21">
        <v>1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21">
        <v>2</v>
      </c>
      <c r="J87" s="21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21">
        <v>2</v>
      </c>
      <c r="J88" s="21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21">
        <v>2</v>
      </c>
      <c r="J89" s="21">
        <v>0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21">
        <v>2</v>
      </c>
      <c r="J90" s="21">
        <v>1</v>
      </c>
      <c r="K90" s="6" t="str">
        <f t="shared" si="2"/>
        <v>1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21">
        <v>2</v>
      </c>
      <c r="J91" s="21">
        <v>1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21">
        <v>2</v>
      </c>
      <c r="J92" s="21">
        <v>1</v>
      </c>
      <c r="K92" s="6" t="str">
        <f t="shared" si="2"/>
        <v>1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21">
        <v>2</v>
      </c>
      <c r="J93" s="21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21">
        <v>3</v>
      </c>
      <c r="J94" s="21">
        <v>1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21">
        <v>0</v>
      </c>
      <c r="J95" s="21">
        <v>2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21">
        <v>2</v>
      </c>
      <c r="J96" s="21">
        <v>1</v>
      </c>
      <c r="K96" s="6" t="str">
        <f t="shared" si="2"/>
        <v>1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21">
        <v>1</v>
      </c>
      <c r="J97" s="21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21">
        <v>1</v>
      </c>
      <c r="J98" s="21">
        <v>2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21">
        <v>2</v>
      </c>
      <c r="J99" s="21">
        <v>0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21">
        <v>2</v>
      </c>
      <c r="J100" s="21">
        <v>1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21">
        <v>0</v>
      </c>
      <c r="J101" s="21">
        <v>2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21">
        <v>1</v>
      </c>
      <c r="J102" s="21">
        <v>2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21">
        <v>1</v>
      </c>
      <c r="J103" s="21">
        <v>2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21">
        <v>2</v>
      </c>
      <c r="J104" s="21">
        <v>1</v>
      </c>
      <c r="K104" s="6" t="str">
        <f t="shared" si="3"/>
        <v>1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21">
        <v>2</v>
      </c>
      <c r="J105" s="21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21">
        <v>1</v>
      </c>
      <c r="J106" s="21">
        <v>2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21">
        <v>1</v>
      </c>
      <c r="J107" s="21">
        <v>2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21">
        <v>2</v>
      </c>
      <c r="J108" s="21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21">
        <v>3</v>
      </c>
      <c r="J109" s="21">
        <v>2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21">
        <v>2</v>
      </c>
      <c r="J110" s="21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TvrbMzS19rR9Z02eSFlaOfTZ23WJrTvTxJ1veSVagc6ZOMQyuZCmPW9aMtqpHaiaM80WqUv0jw9Ht9ct1wsdPw==" saltValue="+4J7yImkxfO7xPhWiN7YYQ==" spinCount="100000" sheet="1" objects="1" scenarios="1"/>
  <mergeCells count="2">
    <mergeCell ref="A1:M1"/>
    <mergeCell ref="B2:D2"/>
  </mergeCells>
  <dataValidations count="1">
    <dataValidation sqref="I7:J110" xr:uid="{00000000-0002-0000-0D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0"/>
  <sheetViews>
    <sheetView workbookViewId="0">
      <selection activeCell="M20" sqref="M20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288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1</v>
      </c>
      <c r="J8" s="16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0</v>
      </c>
      <c r="J9" s="16">
        <v>0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3</v>
      </c>
      <c r="K10" s="6" t="str">
        <f t="shared" si="0"/>
        <v>2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1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1</v>
      </c>
      <c r="J13" s="16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2</v>
      </c>
      <c r="J14" s="16">
        <v>1</v>
      </c>
      <c r="K14" s="6" t="str">
        <f t="shared" si="0"/>
        <v>1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4</v>
      </c>
      <c r="J15" s="16">
        <v>1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3</v>
      </c>
      <c r="J16" s="16">
        <v>2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3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3</v>
      </c>
      <c r="J19" s="16">
        <v>1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3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3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0</v>
      </c>
      <c r="J22" s="16">
        <v>2</v>
      </c>
      <c r="K22" s="6" t="str">
        <f t="shared" si="0"/>
        <v>2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3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2</v>
      </c>
      <c r="J26" s="16">
        <v>1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4</v>
      </c>
      <c r="J27" s="16">
        <v>1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3</v>
      </c>
      <c r="J28" s="16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1</v>
      </c>
      <c r="J29" s="16">
        <v>1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1</v>
      </c>
      <c r="J33" s="16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3</v>
      </c>
      <c r="J34" s="16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2</v>
      </c>
      <c r="J35" s="16">
        <v>1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1</v>
      </c>
      <c r="J36" s="16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2</v>
      </c>
      <c r="J38" s="16">
        <v>1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2</v>
      </c>
      <c r="J39" s="16">
        <v>2</v>
      </c>
      <c r="K39" s="6" t="str">
        <f t="shared" ref="K39:K70" si="1">IF(OR(I39="",J39=""),"",IF(I39&gt;J39,"1",IF(I39=J39,"X","2")))</f>
        <v>X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3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1</v>
      </c>
      <c r="J41" s="16">
        <v>1</v>
      </c>
      <c r="K41" s="6" t="str">
        <f t="shared" si="1"/>
        <v>X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1</v>
      </c>
      <c r="J42" s="16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2</v>
      </c>
      <c r="J44" s="16">
        <v>1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1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3</v>
      </c>
      <c r="J46" s="16">
        <v>1</v>
      </c>
      <c r="K46" s="6" t="str">
        <f t="shared" si="1"/>
        <v>1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2</v>
      </c>
      <c r="J47" s="16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1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3</v>
      </c>
      <c r="J49" s="16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2</v>
      </c>
      <c r="J50" s="16">
        <v>1</v>
      </c>
      <c r="K50" s="6" t="str">
        <f t="shared" si="1"/>
        <v>1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3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2</v>
      </c>
      <c r="J52" s="16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1</v>
      </c>
      <c r="J53" s="16">
        <v>1</v>
      </c>
      <c r="K53" s="6" t="str">
        <f t="shared" si="1"/>
        <v>X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2</v>
      </c>
      <c r="J54" s="16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3</v>
      </c>
      <c r="J55" s="16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1</v>
      </c>
      <c r="J56" s="16">
        <v>2</v>
      </c>
      <c r="K56" s="6" t="str">
        <f t="shared" si="1"/>
        <v>2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4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3</v>
      </c>
      <c r="J58" s="16">
        <v>1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1</v>
      </c>
      <c r="J60" s="16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1</v>
      </c>
      <c r="J61" s="16">
        <v>1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0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2</v>
      </c>
      <c r="J63" s="16">
        <v>3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1</v>
      </c>
      <c r="J64" s="16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0</v>
      </c>
      <c r="J65" s="16">
        <v>1</v>
      </c>
      <c r="K65" s="6" t="str">
        <f t="shared" si="1"/>
        <v>2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2</v>
      </c>
      <c r="J67" s="16">
        <v>1</v>
      </c>
      <c r="K67" s="6" t="str">
        <f t="shared" si="1"/>
        <v>1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2</v>
      </c>
      <c r="J69" s="16">
        <v>1</v>
      </c>
      <c r="K69" s="6" t="str">
        <f t="shared" si="1"/>
        <v>1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0</v>
      </c>
      <c r="J71" s="16">
        <v>1</v>
      </c>
      <c r="K71" s="6" t="str">
        <f t="shared" ref="K71:K102" si="2">IF(OR(I71="",J71=""),"",IF(I71&gt;J71,"1",IF(I71=J71,"X","2")))</f>
        <v>2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2</v>
      </c>
      <c r="J72" s="16">
        <v>2</v>
      </c>
      <c r="K72" s="6" t="str">
        <f t="shared" si="2"/>
        <v>X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1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1</v>
      </c>
      <c r="J75" s="16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1</v>
      </c>
      <c r="J77" s="16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1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1</v>
      </c>
      <c r="J79" s="16">
        <v>2</v>
      </c>
      <c r="K79" s="6" t="str">
        <f t="shared" si="2"/>
        <v>2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2</v>
      </c>
      <c r="J80" s="16">
        <v>1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3</v>
      </c>
      <c r="J81" s="16">
        <v>2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1</v>
      </c>
      <c r="J82" s="16">
        <v>2</v>
      </c>
      <c r="K82" s="6" t="str">
        <f t="shared" si="2"/>
        <v>2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1</v>
      </c>
      <c r="J83" s="16">
        <v>0</v>
      </c>
      <c r="K83" s="6" t="str">
        <f t="shared" si="2"/>
        <v>1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2</v>
      </c>
      <c r="J84" s="16">
        <v>1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3</v>
      </c>
      <c r="J85" s="16">
        <v>2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1</v>
      </c>
      <c r="J86" s="16">
        <v>0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0</v>
      </c>
      <c r="J87" s="16">
        <v>1</v>
      </c>
      <c r="K87" s="6" t="str">
        <f t="shared" si="2"/>
        <v>2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2</v>
      </c>
      <c r="J88" s="16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2</v>
      </c>
      <c r="J89" s="16">
        <v>1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1</v>
      </c>
      <c r="J90" s="16">
        <v>2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3</v>
      </c>
      <c r="J91" s="16">
        <v>1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1</v>
      </c>
      <c r="J92" s="16">
        <v>2</v>
      </c>
      <c r="K92" s="6" t="str">
        <f t="shared" si="2"/>
        <v>2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1</v>
      </c>
      <c r="J93" s="16">
        <v>2</v>
      </c>
      <c r="K93" s="6" t="str">
        <f t="shared" si="2"/>
        <v>2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2</v>
      </c>
      <c r="J94" s="16">
        <v>1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4</v>
      </c>
      <c r="J95" s="16">
        <v>2</v>
      </c>
      <c r="K95" s="6" t="str">
        <f t="shared" si="2"/>
        <v>1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1</v>
      </c>
      <c r="J96" s="16">
        <v>3</v>
      </c>
      <c r="K96" s="6" t="str">
        <f t="shared" si="2"/>
        <v>2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2</v>
      </c>
      <c r="J97" s="16">
        <v>3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1</v>
      </c>
      <c r="J98" s="16">
        <v>0</v>
      </c>
      <c r="K98" s="6" t="str">
        <f t="shared" si="2"/>
        <v>1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1</v>
      </c>
      <c r="J99" s="16">
        <v>0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2</v>
      </c>
      <c r="J100" s="16">
        <v>3</v>
      </c>
      <c r="K100" s="6" t="str">
        <f t="shared" si="2"/>
        <v>2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0</v>
      </c>
      <c r="J101" s="16">
        <v>1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2</v>
      </c>
      <c r="J102" s="16">
        <v>1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1</v>
      </c>
      <c r="J103" s="16">
        <v>3</v>
      </c>
      <c r="K103" s="6" t="str">
        <f t="shared" ref="K103:K110" si="3">IF(OR(I103="",J103=""),"",IF(I103&gt;J103,"1",IF(I103=J103,"X","2")))</f>
        <v>2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1</v>
      </c>
      <c r="J104" s="16">
        <v>2</v>
      </c>
      <c r="K104" s="6" t="str">
        <f t="shared" si="3"/>
        <v>2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2</v>
      </c>
      <c r="J105" s="16">
        <v>1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3</v>
      </c>
      <c r="J106" s="16">
        <v>2</v>
      </c>
      <c r="K106" s="6" t="str">
        <f t="shared" si="3"/>
        <v>1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1</v>
      </c>
      <c r="J107" s="16">
        <v>4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3</v>
      </c>
      <c r="J108" s="16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1</v>
      </c>
      <c r="J109" s="16">
        <v>2</v>
      </c>
      <c r="K109" s="6" t="str">
        <f t="shared" si="3"/>
        <v>2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2</v>
      </c>
      <c r="J110" s="16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B9b+BKR84I3lt/xdgsv3u9McL6k7pbHsw3by6NRYkBeEwqbMa+Zu59BmFIcH72BKBf6VihleZlYx2ELBObtJfw==" saltValue="nEzQnKQF5zqpF1MzsTM0tg==" spinCount="100000" sheet="1" objects="1" scenarios="1"/>
  <mergeCells count="2">
    <mergeCell ref="A1:M1"/>
    <mergeCell ref="B2:D2"/>
  </mergeCells>
  <conditionalFormatting sqref="I7:I110">
    <cfRule type="expression" dxfId="31" priority="1">
      <formula>AND(I7&lt;&gt;"",J7&lt;&gt;"")</formula>
    </cfRule>
  </conditionalFormatting>
  <conditionalFormatting sqref="J7:J110">
    <cfRule type="expression" dxfId="30" priority="2">
      <formula>AND(J7&lt;&gt;"",#REF!&lt;&gt;"")</formula>
    </cfRule>
  </conditionalFormatting>
  <dataValidations count="1">
    <dataValidation sqref="I7:J110" xr:uid="{00000000-0002-0000-0E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0"/>
  <sheetViews>
    <sheetView workbookViewId="0">
      <selection activeCell="M30" sqref="M30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289</v>
      </c>
      <c r="C2" s="31"/>
      <c r="D2" s="31"/>
      <c r="F2" s="2" t="s">
        <v>271</v>
      </c>
      <c r="G2" s="7">
        <f>SUM(L7:L110)</f>
        <v>3</v>
      </c>
      <c r="H2" s="7"/>
      <c r="I2" s="7" t="s">
        <v>7</v>
      </c>
      <c r="J2" s="7">
        <f>SUMPRODUCT(--(I7:I110=Matchschema!$K$2:$K$105),--(J7:J110=Matchschema!$L$2:$L$105),--(Matchschema!$K$2:$K$105&lt;&gt;""))</f>
        <v>1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22">
        <v>2</v>
      </c>
      <c r="J7" s="22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3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22">
        <v>1</v>
      </c>
      <c r="J8" s="22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22">
        <v>2</v>
      </c>
      <c r="J9" s="22">
        <v>1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22">
        <v>2</v>
      </c>
      <c r="J10" s="22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22">
        <v>0</v>
      </c>
      <c r="J11" s="22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22">
        <v>2</v>
      </c>
      <c r="J12" s="22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22">
        <v>0</v>
      </c>
      <c r="J13" s="22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22">
        <v>1</v>
      </c>
      <c r="J14" s="22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22">
        <v>3</v>
      </c>
      <c r="J15" s="22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22">
        <v>1</v>
      </c>
      <c r="J16" s="22">
        <v>1</v>
      </c>
      <c r="K16" s="6" t="str">
        <f t="shared" si="0"/>
        <v>X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22">
        <v>1</v>
      </c>
      <c r="J17" s="22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22">
        <v>1</v>
      </c>
      <c r="J18" s="22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22">
        <v>3</v>
      </c>
      <c r="J19" s="22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22">
        <v>2</v>
      </c>
      <c r="J20" s="22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22">
        <v>0</v>
      </c>
      <c r="J21" s="22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22">
        <v>2</v>
      </c>
      <c r="J22" s="22">
        <v>0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22">
        <v>2</v>
      </c>
      <c r="J23" s="22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22">
        <v>0</v>
      </c>
      <c r="J24" s="22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22">
        <v>2</v>
      </c>
      <c r="J25" s="22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22">
        <v>2</v>
      </c>
      <c r="J26" s="22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22">
        <v>3</v>
      </c>
      <c r="J27" s="22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22">
        <v>2</v>
      </c>
      <c r="J28" s="22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22">
        <v>1</v>
      </c>
      <c r="J29" s="22">
        <v>1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22">
        <v>0</v>
      </c>
      <c r="J30" s="22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22">
        <v>2</v>
      </c>
      <c r="J31" s="22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22">
        <v>2</v>
      </c>
      <c r="J32" s="22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22">
        <v>2</v>
      </c>
      <c r="J33" s="22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22">
        <v>2</v>
      </c>
      <c r="J34" s="22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22">
        <v>2</v>
      </c>
      <c r="J35" s="22">
        <v>0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22">
        <v>1</v>
      </c>
      <c r="J36" s="22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22">
        <v>3</v>
      </c>
      <c r="J37" s="22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22">
        <v>1</v>
      </c>
      <c r="J38" s="22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22">
        <v>2</v>
      </c>
      <c r="J39" s="22">
        <v>1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22">
        <v>2</v>
      </c>
      <c r="J40" s="22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22">
        <v>2</v>
      </c>
      <c r="J41" s="22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22">
        <v>0</v>
      </c>
      <c r="J42" s="22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22">
        <v>3</v>
      </c>
      <c r="J43" s="22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22">
        <v>2</v>
      </c>
      <c r="J44" s="22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22">
        <v>2</v>
      </c>
      <c r="J45" s="22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22">
        <v>0</v>
      </c>
      <c r="J46" s="22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22">
        <v>2</v>
      </c>
      <c r="J47" s="22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22">
        <v>3</v>
      </c>
      <c r="J48" s="22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22">
        <v>1</v>
      </c>
      <c r="J49" s="22">
        <v>1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22">
        <v>0</v>
      </c>
      <c r="J50" s="22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22">
        <v>2</v>
      </c>
      <c r="J51" s="22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22">
        <v>2</v>
      </c>
      <c r="J52" s="22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22">
        <v>0</v>
      </c>
      <c r="J53" s="22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22">
        <v>2</v>
      </c>
      <c r="J54" s="22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22">
        <v>1</v>
      </c>
      <c r="J55" s="22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22">
        <v>1</v>
      </c>
      <c r="J56" s="22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22">
        <v>0</v>
      </c>
      <c r="J57" s="22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22">
        <v>3</v>
      </c>
      <c r="J58" s="22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22">
        <v>1</v>
      </c>
      <c r="J59" s="22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22">
        <v>1</v>
      </c>
      <c r="J60" s="22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22">
        <v>0</v>
      </c>
      <c r="J61" s="22">
        <v>2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22">
        <v>1</v>
      </c>
      <c r="J62" s="22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22">
        <v>1</v>
      </c>
      <c r="J63" s="22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22">
        <v>0</v>
      </c>
      <c r="J64" s="22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22">
        <v>1</v>
      </c>
      <c r="J65" s="22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22">
        <v>1</v>
      </c>
      <c r="J66" s="22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22">
        <v>1</v>
      </c>
      <c r="J67" s="22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22">
        <v>2</v>
      </c>
      <c r="J68" s="22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22">
        <v>1</v>
      </c>
      <c r="J69" s="22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22">
        <v>1</v>
      </c>
      <c r="J70" s="22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22">
        <v>1</v>
      </c>
      <c r="J71" s="22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22">
        <v>0</v>
      </c>
      <c r="J72" s="22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22">
        <v>0</v>
      </c>
      <c r="J73" s="22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22">
        <v>2</v>
      </c>
      <c r="J74" s="22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22">
        <v>1</v>
      </c>
      <c r="J75" s="22">
        <v>1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22">
        <v>1</v>
      </c>
      <c r="J76" s="22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22">
        <v>1</v>
      </c>
      <c r="J77" s="22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22">
        <v>0</v>
      </c>
      <c r="J78" s="22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0</v>
      </c>
      <c r="J79" s="16">
        <v>0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0</v>
      </c>
      <c r="J80" s="16">
        <v>0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0</v>
      </c>
      <c r="J81" s="16">
        <v>0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0</v>
      </c>
      <c r="J82" s="16">
        <v>0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0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0</v>
      </c>
      <c r="J84" s="16">
        <v>0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0</v>
      </c>
      <c r="J85" s="16">
        <v>0</v>
      </c>
      <c r="K85" s="6" t="str">
        <f t="shared" si="2"/>
        <v>X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0</v>
      </c>
      <c r="J86" s="16">
        <v>0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0</v>
      </c>
      <c r="J87" s="16">
        <v>0</v>
      </c>
      <c r="K87" s="6" t="str">
        <f t="shared" si="2"/>
        <v>X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0</v>
      </c>
      <c r="J88" s="16">
        <v>0</v>
      </c>
      <c r="K88" s="6" t="str">
        <f t="shared" si="2"/>
        <v>X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0</v>
      </c>
      <c r="J89" s="16">
        <v>0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0</v>
      </c>
      <c r="J90" s="16">
        <v>0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0</v>
      </c>
      <c r="J91" s="16">
        <v>0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0</v>
      </c>
      <c r="J92" s="16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0</v>
      </c>
      <c r="J93" s="16">
        <v>0</v>
      </c>
      <c r="K93" s="6" t="str">
        <f t="shared" si="2"/>
        <v>X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0</v>
      </c>
      <c r="J94" s="16">
        <v>0</v>
      </c>
      <c r="K94" s="6" t="str">
        <f t="shared" si="2"/>
        <v>X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0</v>
      </c>
      <c r="J95" s="16">
        <v>0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0</v>
      </c>
      <c r="K96" s="6" t="str">
        <f t="shared" si="2"/>
        <v>X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0</v>
      </c>
      <c r="J97" s="16">
        <v>0</v>
      </c>
      <c r="K97" s="6" t="str">
        <f t="shared" si="2"/>
        <v>X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0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0</v>
      </c>
      <c r="J99" s="16">
        <v>0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0</v>
      </c>
      <c r="J100" s="16">
        <v>0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0</v>
      </c>
      <c r="J101" s="16">
        <v>0</v>
      </c>
      <c r="K101" s="6" t="str">
        <f t="shared" si="2"/>
        <v>X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0</v>
      </c>
      <c r="J102" s="16">
        <v>0</v>
      </c>
      <c r="K102" s="6" t="str">
        <f t="shared" si="2"/>
        <v>X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0</v>
      </c>
      <c r="J103" s="16">
        <v>0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0</v>
      </c>
      <c r="J104" s="16">
        <v>0</v>
      </c>
      <c r="K104" s="6" t="str">
        <f t="shared" si="3"/>
        <v>X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0</v>
      </c>
      <c r="J105" s="16">
        <v>0</v>
      </c>
      <c r="K105" s="6" t="str">
        <f t="shared" si="3"/>
        <v>X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0</v>
      </c>
      <c r="J106" s="16">
        <v>0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0</v>
      </c>
      <c r="J107" s="16">
        <v>0</v>
      </c>
      <c r="K107" s="6" t="str">
        <f t="shared" si="3"/>
        <v>X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0</v>
      </c>
      <c r="J108" s="16">
        <v>0</v>
      </c>
      <c r="K108" s="6" t="str">
        <f t="shared" si="3"/>
        <v>X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0</v>
      </c>
      <c r="J109" s="16">
        <v>0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0</v>
      </c>
      <c r="J110" s="16">
        <v>0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0Lr+IpMfYcrfPp60uaQ4TaBxM5LJFWfQz5OOlpbIO9nqLo2QaTWx8dmk/TY1tv3mk+kyTYFZE6kQ/tYwHWrQ7w==" saltValue="wAaTb8Xwo6wUchcdt2tVAg==" spinCount="100000" sheet="1" objects="1" scenarios="1"/>
  <mergeCells count="2">
    <mergeCell ref="A1:M1"/>
    <mergeCell ref="B2:D2"/>
  </mergeCells>
  <conditionalFormatting sqref="I7:I110">
    <cfRule type="expression" dxfId="27" priority="1">
      <formula>AND(I7&lt;&gt;"",J7&lt;&gt;"")</formula>
    </cfRule>
  </conditionalFormatting>
  <conditionalFormatting sqref="J7:J110">
    <cfRule type="expression" dxfId="26" priority="2">
      <formula>AND(J7&lt;&gt;"",#REF!&lt;&gt;"")</formula>
    </cfRule>
  </conditionalFormatting>
  <dataValidations count="1">
    <dataValidation sqref="I7:J110" xr:uid="{00000000-0002-0000-0F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0"/>
  <sheetViews>
    <sheetView workbookViewId="0">
      <selection activeCell="M18" sqref="M18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290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20">
        <v>1</v>
      </c>
      <c r="J7" s="16">
        <v>1</v>
      </c>
      <c r="K7" s="6" t="str">
        <f t="shared" ref="K7:K38" si="0">IF(OR(I7="",J7=""),"",IF(I7&gt;J7,"1",IF(I7=J7,"X","2")))</f>
        <v>X</v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20">
        <v>1</v>
      </c>
      <c r="J8" s="16">
        <v>3</v>
      </c>
      <c r="K8" s="6" t="str">
        <f t="shared" si="0"/>
        <v>2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20">
        <v>0</v>
      </c>
      <c r="J9" s="16">
        <v>0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20">
        <v>1</v>
      </c>
      <c r="J10" s="16">
        <v>3</v>
      </c>
      <c r="K10" s="6" t="str">
        <f t="shared" si="0"/>
        <v>2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20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20">
        <v>2</v>
      </c>
      <c r="J12" s="16">
        <v>2</v>
      </c>
      <c r="K12" s="6" t="str">
        <f t="shared" si="0"/>
        <v>X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20">
        <v>1</v>
      </c>
      <c r="J13" s="16">
        <v>1</v>
      </c>
      <c r="K13" s="6" t="str">
        <f t="shared" si="0"/>
        <v>X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20">
        <v>1</v>
      </c>
      <c r="J14" s="16">
        <v>3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20">
        <v>3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20">
        <v>1</v>
      </c>
      <c r="J16" s="16">
        <v>2</v>
      </c>
      <c r="K16" s="6" t="str">
        <f t="shared" si="0"/>
        <v>2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20">
        <v>0</v>
      </c>
      <c r="J17" s="16">
        <v>2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20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20">
        <v>3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20">
        <v>2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20">
        <v>1</v>
      </c>
      <c r="J21" s="16">
        <v>4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20">
        <v>0</v>
      </c>
      <c r="J22" s="16">
        <v>0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20">
        <v>3</v>
      </c>
      <c r="J23" s="16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20">
        <v>0</v>
      </c>
      <c r="J24" s="16">
        <v>4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20">
        <v>2</v>
      </c>
      <c r="J25" s="16">
        <v>2</v>
      </c>
      <c r="K25" s="6" t="str">
        <f t="shared" si="0"/>
        <v>X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20">
        <v>0</v>
      </c>
      <c r="J26" s="16">
        <v>1</v>
      </c>
      <c r="K26" s="6" t="str">
        <f t="shared" si="0"/>
        <v>2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20">
        <v>2</v>
      </c>
      <c r="J27" s="16">
        <v>2</v>
      </c>
      <c r="K27" s="6" t="str">
        <f t="shared" si="0"/>
        <v>X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20">
        <v>2</v>
      </c>
      <c r="J28" s="16">
        <v>3</v>
      </c>
      <c r="K28" s="6" t="str">
        <f t="shared" si="0"/>
        <v>2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20">
        <v>3</v>
      </c>
      <c r="J29" s="16">
        <v>1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20">
        <v>1</v>
      </c>
      <c r="J30" s="16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20">
        <v>3</v>
      </c>
      <c r="J31" s="16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20">
        <v>1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20">
        <v>2</v>
      </c>
      <c r="J33" s="16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20">
        <v>2</v>
      </c>
      <c r="J34" s="16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20">
        <v>3</v>
      </c>
      <c r="J35" s="16">
        <v>0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20">
        <v>1</v>
      </c>
      <c r="J36" s="16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20">
        <v>5</v>
      </c>
      <c r="J37" s="16">
        <v>1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20">
        <v>3</v>
      </c>
      <c r="J38" s="16">
        <v>3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20">
        <v>2</v>
      </c>
      <c r="J39" s="16">
        <v>3</v>
      </c>
      <c r="K39" s="6" t="str">
        <f t="shared" ref="K39:K70" si="1">IF(OR(I39="",J39=""),"",IF(I39&gt;J39,"1",IF(I39=J39,"X","2")))</f>
        <v>2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20">
        <v>3</v>
      </c>
      <c r="J40" s="16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20">
        <v>3</v>
      </c>
      <c r="J41" s="16">
        <v>1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20">
        <v>0</v>
      </c>
      <c r="J42" s="16">
        <v>0</v>
      </c>
      <c r="K42" s="6" t="str">
        <f t="shared" si="1"/>
        <v>X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20">
        <v>4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20">
        <v>3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20">
        <v>4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20">
        <v>0</v>
      </c>
      <c r="J46" s="16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20">
        <v>1</v>
      </c>
      <c r="J47" s="16">
        <v>1</v>
      </c>
      <c r="K47" s="6" t="str">
        <f t="shared" si="1"/>
        <v>X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20">
        <v>3</v>
      </c>
      <c r="J48" s="16">
        <v>1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20">
        <v>1</v>
      </c>
      <c r="J49" s="16">
        <v>1</v>
      </c>
      <c r="K49" s="6" t="str">
        <f t="shared" si="1"/>
        <v>X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20">
        <v>0</v>
      </c>
      <c r="J50" s="16">
        <v>1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20">
        <v>3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20">
        <v>3</v>
      </c>
      <c r="J52" s="16">
        <v>2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20">
        <v>0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20">
        <v>3</v>
      </c>
      <c r="J54" s="16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20">
        <v>1</v>
      </c>
      <c r="J55" s="16">
        <v>0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20">
        <v>1</v>
      </c>
      <c r="J56" s="16">
        <v>1</v>
      </c>
      <c r="K56" s="6" t="str">
        <f t="shared" si="1"/>
        <v>X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20">
        <v>1</v>
      </c>
      <c r="J57" s="16">
        <v>3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20">
        <v>1</v>
      </c>
      <c r="J58" s="16">
        <v>1</v>
      </c>
      <c r="K58" s="6" t="str">
        <f t="shared" si="1"/>
        <v>X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20">
        <v>0</v>
      </c>
      <c r="J59" s="16">
        <v>0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20">
        <v>0</v>
      </c>
      <c r="J60" s="16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20">
        <v>1</v>
      </c>
      <c r="J61" s="16">
        <v>1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20">
        <v>0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20">
        <v>1</v>
      </c>
      <c r="J63" s="16">
        <v>2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20">
        <v>0</v>
      </c>
      <c r="J64" s="16">
        <v>0</v>
      </c>
      <c r="K64" s="6" t="str">
        <f t="shared" si="1"/>
        <v>X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20">
        <v>0</v>
      </c>
      <c r="J65" s="16">
        <v>2</v>
      </c>
      <c r="K65" s="6" t="str">
        <f t="shared" si="1"/>
        <v>2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20">
        <v>3</v>
      </c>
      <c r="J66" s="16">
        <v>1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20">
        <v>1</v>
      </c>
      <c r="J67" s="16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20">
        <v>2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20">
        <v>1</v>
      </c>
      <c r="J69" s="16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20">
        <v>2</v>
      </c>
      <c r="J70" s="16">
        <v>2</v>
      </c>
      <c r="K70" s="6" t="str">
        <f t="shared" si="1"/>
        <v>X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20">
        <v>0</v>
      </c>
      <c r="J71" s="16">
        <v>0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20">
        <v>0</v>
      </c>
      <c r="J72" s="16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20">
        <v>0</v>
      </c>
      <c r="J73" s="16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20">
        <v>1</v>
      </c>
      <c r="J74" s="16">
        <v>1</v>
      </c>
      <c r="K74" s="6" t="str">
        <f t="shared" si="2"/>
        <v>X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20">
        <v>1</v>
      </c>
      <c r="J75" s="16">
        <v>1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20">
        <v>0</v>
      </c>
      <c r="J76" s="16">
        <v>0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20">
        <v>0</v>
      </c>
      <c r="J77" s="16">
        <v>1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20">
        <v>0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20">
        <v>1</v>
      </c>
      <c r="J79" s="16">
        <v>0</v>
      </c>
      <c r="K79" s="6" t="str">
        <f t="shared" si="2"/>
        <v>1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20">
        <v>2</v>
      </c>
      <c r="J80" s="16">
        <v>3</v>
      </c>
      <c r="K80" s="6" t="str">
        <f t="shared" si="2"/>
        <v>2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20">
        <v>1</v>
      </c>
      <c r="J81" s="16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20">
        <v>1</v>
      </c>
      <c r="J82" s="16">
        <v>2</v>
      </c>
      <c r="K82" s="6" t="str">
        <f t="shared" si="2"/>
        <v>2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20">
        <v>1</v>
      </c>
      <c r="J83" s="16">
        <v>0</v>
      </c>
      <c r="K83" s="6" t="str">
        <f t="shared" si="2"/>
        <v>1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20">
        <v>4</v>
      </c>
      <c r="J84" s="16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20">
        <v>3</v>
      </c>
      <c r="J85" s="16">
        <v>1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20">
        <v>2</v>
      </c>
      <c r="J86" s="16">
        <v>1</v>
      </c>
      <c r="K86" s="6" t="str">
        <f t="shared" si="2"/>
        <v>1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20">
        <v>4</v>
      </c>
      <c r="J87" s="16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20">
        <v>2</v>
      </c>
      <c r="J88" s="16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20">
        <v>3</v>
      </c>
      <c r="J89" s="16">
        <v>2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20">
        <v>0</v>
      </c>
      <c r="J90" s="16">
        <v>1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20">
        <v>1</v>
      </c>
      <c r="J91" s="16">
        <v>2</v>
      </c>
      <c r="K91" s="6" t="str">
        <f t="shared" si="2"/>
        <v>2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20">
        <v>0</v>
      </c>
      <c r="J92" s="16">
        <v>2</v>
      </c>
      <c r="K92" s="6" t="str">
        <f t="shared" si="2"/>
        <v>2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20">
        <v>1</v>
      </c>
      <c r="J93" s="16">
        <v>0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20">
        <v>3</v>
      </c>
      <c r="J94" s="16">
        <v>1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20">
        <v>1</v>
      </c>
      <c r="J95" s="16">
        <v>2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20">
        <v>0</v>
      </c>
      <c r="J96" s="16">
        <v>1</v>
      </c>
      <c r="K96" s="6" t="str">
        <f t="shared" si="2"/>
        <v>2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20">
        <v>0</v>
      </c>
      <c r="J97" s="16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20">
        <v>5</v>
      </c>
      <c r="J98" s="16">
        <v>4</v>
      </c>
      <c r="K98" s="6" t="str">
        <f t="shared" si="2"/>
        <v>1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20">
        <v>3</v>
      </c>
      <c r="J99" s="16">
        <v>4</v>
      </c>
      <c r="K99" s="6" t="str">
        <f t="shared" si="2"/>
        <v>2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20">
        <v>6</v>
      </c>
      <c r="J100" s="16">
        <v>5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20">
        <v>4</v>
      </c>
      <c r="J101" s="16">
        <v>5</v>
      </c>
      <c r="K101" s="6" t="str">
        <f t="shared" si="2"/>
        <v>2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20">
        <v>4</v>
      </c>
      <c r="J102" s="16">
        <v>3</v>
      </c>
      <c r="K102" s="6" t="str">
        <f t="shared" si="2"/>
        <v>1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20">
        <v>1</v>
      </c>
      <c r="J103" s="16">
        <v>0</v>
      </c>
      <c r="K103" s="6" t="str">
        <f t="shared" ref="K103:K110" si="3">IF(OR(I103="",J103=""),"",IF(I103&gt;J103,"1",IF(I103=J103,"X","2")))</f>
        <v>1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20">
        <v>0</v>
      </c>
      <c r="J104" s="16">
        <v>1</v>
      </c>
      <c r="K104" s="6" t="str">
        <f t="shared" si="3"/>
        <v>2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20">
        <v>1</v>
      </c>
      <c r="J105" s="16">
        <v>3</v>
      </c>
      <c r="K105" s="6" t="str">
        <f t="shared" si="3"/>
        <v>2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20">
        <v>5</v>
      </c>
      <c r="J106" s="16">
        <v>6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20">
        <v>2</v>
      </c>
      <c r="J107" s="16">
        <v>3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20">
        <v>3</v>
      </c>
      <c r="J108" s="16">
        <v>4</v>
      </c>
      <c r="K108" s="6" t="str">
        <f t="shared" si="3"/>
        <v>2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20">
        <v>1</v>
      </c>
      <c r="J109" s="16">
        <v>3</v>
      </c>
      <c r="K109" s="6" t="str">
        <f t="shared" si="3"/>
        <v>2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20">
        <v>3</v>
      </c>
      <c r="J110" s="16">
        <v>1</v>
      </c>
      <c r="K110" s="6" t="str">
        <f t="shared" si="3"/>
        <v>1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f1KbIRAQZonLOgbUL4XrZF+IYDVip5rgDBOu1LO6yfy1HCiQY291sjqtx6gnjbpNnZ2m869ompuhS/DddPlKeQ==" saltValue="pkf4o4BYxPwGl/BYW163Jg==" spinCount="100000" sheet="1" objects="1" scenarios="1"/>
  <mergeCells count="2">
    <mergeCell ref="A1:M1"/>
    <mergeCell ref="B2:D2"/>
  </mergeCells>
  <conditionalFormatting sqref="I7:I110">
    <cfRule type="expression" dxfId="23" priority="1">
      <formula>AND(I7&lt;&gt;"",J7&lt;&gt;"")</formula>
    </cfRule>
  </conditionalFormatting>
  <conditionalFormatting sqref="J7:J110">
    <cfRule type="expression" dxfId="22" priority="2">
      <formula>AND(J7&lt;&gt;"",#REF!&lt;&gt;"")</formula>
    </cfRule>
  </conditionalFormatting>
  <dataValidations count="1">
    <dataValidation sqref="I7:J110" xr:uid="{00000000-0002-0000-1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10"/>
  <sheetViews>
    <sheetView workbookViewId="0">
      <selection activeCell="M40" sqref="M40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291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1</v>
      </c>
      <c r="J7" s="16">
        <v>0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0</v>
      </c>
      <c r="J8" s="16">
        <v>1</v>
      </c>
      <c r="K8" s="6" t="str">
        <f t="shared" si="0"/>
        <v>2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1</v>
      </c>
      <c r="J9" s="16">
        <v>1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0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2</v>
      </c>
      <c r="J11" s="16">
        <v>2</v>
      </c>
      <c r="K11" s="6" t="str">
        <f t="shared" si="0"/>
        <v>X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2</v>
      </c>
      <c r="J13" s="16">
        <v>0</v>
      </c>
      <c r="K13" s="6" t="str">
        <f t="shared" si="0"/>
        <v>1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0</v>
      </c>
      <c r="J14" s="16">
        <v>1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6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1</v>
      </c>
      <c r="J16" s="16">
        <v>1</v>
      </c>
      <c r="K16" s="6" t="str">
        <f t="shared" si="0"/>
        <v>X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0</v>
      </c>
      <c r="J17" s="16">
        <v>2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1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5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3</v>
      </c>
      <c r="J20" s="16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0</v>
      </c>
      <c r="J21" s="16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1</v>
      </c>
      <c r="J22" s="16">
        <v>1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3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1</v>
      </c>
      <c r="J24" s="16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4</v>
      </c>
      <c r="J25" s="16">
        <v>1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2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2</v>
      </c>
      <c r="J28" s="16">
        <v>2</v>
      </c>
      <c r="K28" s="6" t="str">
        <f t="shared" si="0"/>
        <v>X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0</v>
      </c>
      <c r="J29" s="16">
        <v>0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1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1</v>
      </c>
      <c r="J31" s="16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1</v>
      </c>
      <c r="J32" s="16">
        <v>1</v>
      </c>
      <c r="K32" s="6" t="str">
        <f t="shared" si="0"/>
        <v>X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0</v>
      </c>
      <c r="J33" s="16">
        <v>1</v>
      </c>
      <c r="K33" s="6" t="str">
        <f t="shared" si="0"/>
        <v>2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1</v>
      </c>
      <c r="K34" s="6" t="str">
        <f t="shared" si="0"/>
        <v>X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1</v>
      </c>
      <c r="J35" s="16">
        <v>2</v>
      </c>
      <c r="K35" s="6" t="str">
        <f t="shared" si="0"/>
        <v>2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0</v>
      </c>
      <c r="J36" s="16">
        <v>0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2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2</v>
      </c>
      <c r="J38" s="16">
        <v>2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2</v>
      </c>
      <c r="J39" s="16">
        <v>0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3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2</v>
      </c>
      <c r="J41" s="16">
        <v>1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1</v>
      </c>
      <c r="J42" s="16">
        <v>1</v>
      </c>
      <c r="K42" s="6" t="str">
        <f t="shared" si="1"/>
        <v>X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1</v>
      </c>
      <c r="J44" s="16">
        <v>1</v>
      </c>
      <c r="K44" s="6" t="str">
        <f t="shared" si="1"/>
        <v>X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1</v>
      </c>
      <c r="J46" s="16">
        <v>1</v>
      </c>
      <c r="K46" s="6" t="str">
        <f t="shared" si="1"/>
        <v>X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3</v>
      </c>
      <c r="J47" s="16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1</v>
      </c>
      <c r="J49" s="16">
        <v>0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2</v>
      </c>
      <c r="J50" s="16">
        <v>2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1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2</v>
      </c>
      <c r="J52" s="16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1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1</v>
      </c>
      <c r="J54" s="16">
        <v>1</v>
      </c>
      <c r="K54" s="6" t="str">
        <f t="shared" si="1"/>
        <v>X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1</v>
      </c>
      <c r="J55" s="16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2</v>
      </c>
      <c r="J56" s="16">
        <v>1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0</v>
      </c>
      <c r="J57" s="16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0</v>
      </c>
      <c r="J58" s="16">
        <v>0</v>
      </c>
      <c r="K58" s="6" t="str">
        <f t="shared" si="1"/>
        <v>X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2</v>
      </c>
      <c r="J59" s="16">
        <v>1</v>
      </c>
      <c r="K59" s="6" t="str">
        <f t="shared" si="1"/>
        <v>1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2</v>
      </c>
      <c r="J60" s="16">
        <v>0</v>
      </c>
      <c r="K60" s="6" t="str">
        <f t="shared" si="1"/>
        <v>1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1</v>
      </c>
      <c r="J61" s="16">
        <v>1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0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0</v>
      </c>
      <c r="J64" s="16">
        <v>1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0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1</v>
      </c>
      <c r="J67" s="16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1</v>
      </c>
      <c r="K68" s="6" t="str">
        <f t="shared" si="1"/>
        <v>X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1</v>
      </c>
      <c r="J69" s="16">
        <v>0</v>
      </c>
      <c r="K69" s="6" t="str">
        <f t="shared" si="1"/>
        <v>1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0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2</v>
      </c>
      <c r="J71" s="16">
        <v>1</v>
      </c>
      <c r="K71" s="6" t="str">
        <f t="shared" ref="K71:K102" si="2">IF(OR(I71="",J71=""),"",IF(I71&gt;J71,"1",IF(I71=J71,"X","2")))</f>
        <v>1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2</v>
      </c>
      <c r="J72" s="16">
        <v>2</v>
      </c>
      <c r="K72" s="6" t="str">
        <f t="shared" si="2"/>
        <v>X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1</v>
      </c>
      <c r="J74" s="16">
        <v>2</v>
      </c>
      <c r="K74" s="6" t="str">
        <f t="shared" si="2"/>
        <v>2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0</v>
      </c>
      <c r="J75" s="16">
        <v>1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2</v>
      </c>
      <c r="J76" s="16">
        <v>1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1</v>
      </c>
      <c r="J77" s="16">
        <v>1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0</v>
      </c>
      <c r="J79" s="16">
        <v>0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0</v>
      </c>
      <c r="J80" s="16">
        <v>0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0</v>
      </c>
      <c r="J81" s="16">
        <v>0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0</v>
      </c>
      <c r="J82" s="16">
        <v>0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0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0</v>
      </c>
      <c r="J84" s="16">
        <v>0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0</v>
      </c>
      <c r="J85" s="16">
        <v>0</v>
      </c>
      <c r="K85" s="6" t="str">
        <f t="shared" si="2"/>
        <v>X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0</v>
      </c>
      <c r="J86" s="16">
        <v>0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0</v>
      </c>
      <c r="J87" s="16">
        <v>0</v>
      </c>
      <c r="K87" s="6" t="str">
        <f t="shared" si="2"/>
        <v>X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0</v>
      </c>
      <c r="J88" s="16">
        <v>0</v>
      </c>
      <c r="K88" s="6" t="str">
        <f t="shared" si="2"/>
        <v>X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0</v>
      </c>
      <c r="J89" s="16">
        <v>0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0</v>
      </c>
      <c r="J90" s="16">
        <v>0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0</v>
      </c>
      <c r="J91" s="16">
        <v>0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0</v>
      </c>
      <c r="J92" s="16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0</v>
      </c>
      <c r="J93" s="16">
        <v>0</v>
      </c>
      <c r="K93" s="6" t="str">
        <f t="shared" si="2"/>
        <v>X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0</v>
      </c>
      <c r="J94" s="16">
        <v>0</v>
      </c>
      <c r="K94" s="6" t="str">
        <f t="shared" si="2"/>
        <v>X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0</v>
      </c>
      <c r="J95" s="16">
        <v>0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0</v>
      </c>
      <c r="K96" s="6" t="str">
        <f t="shared" si="2"/>
        <v>X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0</v>
      </c>
      <c r="J97" s="16">
        <v>0</v>
      </c>
      <c r="K97" s="6" t="str">
        <f t="shared" si="2"/>
        <v>X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0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0</v>
      </c>
      <c r="J99" s="16">
        <v>0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0</v>
      </c>
      <c r="J100" s="16">
        <v>0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0</v>
      </c>
      <c r="J101" s="16">
        <v>0</v>
      </c>
      <c r="K101" s="6" t="str">
        <f t="shared" si="2"/>
        <v>X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0</v>
      </c>
      <c r="J102" s="16">
        <v>0</v>
      </c>
      <c r="K102" s="6" t="str">
        <f t="shared" si="2"/>
        <v>X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0</v>
      </c>
      <c r="J103" s="16">
        <v>0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0</v>
      </c>
      <c r="J104" s="16">
        <v>0</v>
      </c>
      <c r="K104" s="6" t="str">
        <f t="shared" si="3"/>
        <v>X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0</v>
      </c>
      <c r="J105" s="16">
        <v>0</v>
      </c>
      <c r="K105" s="6" t="str">
        <f t="shared" si="3"/>
        <v>X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0</v>
      </c>
      <c r="J106" s="16">
        <v>0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0</v>
      </c>
      <c r="J107" s="16">
        <v>0</v>
      </c>
      <c r="K107" s="6" t="str">
        <f t="shared" si="3"/>
        <v>X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0</v>
      </c>
      <c r="J108" s="16">
        <v>0</v>
      </c>
      <c r="K108" s="6" t="str">
        <f t="shared" si="3"/>
        <v>X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0</v>
      </c>
      <c r="J109" s="16">
        <v>0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0</v>
      </c>
      <c r="J110" s="16">
        <v>0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mC/v16227R382TPS2ayJNfYJsSY49V2QyWiPR3flLsY9ULFFKVw9U/MMbZPRgUQag9UrbsHbulQ8fK31VtdPwA==" saltValue="u41n5PQriO57IrtMgf4PsQ==" spinCount="100000" sheet="1" objects="1" scenarios="1"/>
  <mergeCells count="2">
    <mergeCell ref="A1:M1"/>
    <mergeCell ref="B2:D2"/>
  </mergeCells>
  <conditionalFormatting sqref="I7:I110">
    <cfRule type="expression" dxfId="19" priority="1">
      <formula>AND(I7&lt;&gt;"",J7&lt;&gt;"")</formula>
    </cfRule>
  </conditionalFormatting>
  <conditionalFormatting sqref="J7:J110">
    <cfRule type="expression" dxfId="18" priority="2">
      <formula>AND(J7&lt;&gt;"",#REF!&lt;&gt;"")</formula>
    </cfRule>
  </conditionalFormatting>
  <dataValidations count="1">
    <dataValidation sqref="I7:J110" xr:uid="{00000000-0002-0000-11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10"/>
  <sheetViews>
    <sheetView workbookViewId="0">
      <selection activeCell="L22" sqref="L22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292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1</v>
      </c>
      <c r="J8" s="16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2</v>
      </c>
      <c r="J9" s="16">
        <v>0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1</v>
      </c>
      <c r="K10" s="6" t="str">
        <f t="shared" si="0"/>
        <v>X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1</v>
      </c>
      <c r="J13" s="16">
        <v>1</v>
      </c>
      <c r="K13" s="6" t="str">
        <f t="shared" si="0"/>
        <v>X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1</v>
      </c>
      <c r="K14" s="6" t="str">
        <f t="shared" si="0"/>
        <v>X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3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1</v>
      </c>
      <c r="J16" s="16">
        <v>1</v>
      </c>
      <c r="K16" s="6" t="str">
        <f t="shared" si="0"/>
        <v>X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0</v>
      </c>
      <c r="J17" s="16">
        <v>0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1</v>
      </c>
      <c r="J18" s="16">
        <v>1</v>
      </c>
      <c r="K18" s="6" t="str">
        <f t="shared" si="0"/>
        <v>X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3</v>
      </c>
      <c r="J19" s="16">
        <v>1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0</v>
      </c>
      <c r="J20" s="16">
        <v>0</v>
      </c>
      <c r="K20" s="6" t="str">
        <f t="shared" si="0"/>
        <v>X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0</v>
      </c>
      <c r="J21" s="16">
        <v>0</v>
      </c>
      <c r="K21" s="6" t="str">
        <f t="shared" si="0"/>
        <v>X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0</v>
      </c>
      <c r="J22" s="16">
        <v>1</v>
      </c>
      <c r="K22" s="6" t="str">
        <f t="shared" si="0"/>
        <v>2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3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1</v>
      </c>
      <c r="J24" s="16">
        <v>1</v>
      </c>
      <c r="K24" s="6" t="str">
        <f t="shared" si="0"/>
        <v>X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1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1</v>
      </c>
      <c r="K26" s="6" t="str">
        <f t="shared" si="0"/>
        <v>X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3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2</v>
      </c>
      <c r="J28" s="16">
        <v>0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0</v>
      </c>
      <c r="J29" s="16">
        <v>0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1</v>
      </c>
      <c r="J30" s="16">
        <v>0</v>
      </c>
      <c r="K30" s="6" t="str">
        <f t="shared" si="0"/>
        <v>1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3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2</v>
      </c>
      <c r="J33" s="16">
        <v>1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2</v>
      </c>
      <c r="J34" s="16">
        <v>2</v>
      </c>
      <c r="K34" s="6" t="str">
        <f t="shared" si="0"/>
        <v>X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1</v>
      </c>
      <c r="J35" s="16">
        <v>1</v>
      </c>
      <c r="K35" s="6" t="str">
        <f t="shared" si="0"/>
        <v>X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1</v>
      </c>
      <c r="J36" s="16">
        <v>2</v>
      </c>
      <c r="K36" s="6" t="str">
        <f t="shared" si="0"/>
        <v>2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4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2</v>
      </c>
      <c r="J38" s="16">
        <v>1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2</v>
      </c>
      <c r="J39" s="16">
        <v>0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4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1</v>
      </c>
      <c r="J41" s="16">
        <v>1</v>
      </c>
      <c r="K41" s="6" t="str">
        <f t="shared" si="1"/>
        <v>X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0</v>
      </c>
      <c r="J42" s="16">
        <v>1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1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1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1</v>
      </c>
      <c r="J46" s="16">
        <v>0</v>
      </c>
      <c r="K46" s="6" t="str">
        <f t="shared" si="1"/>
        <v>1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2</v>
      </c>
      <c r="J47" s="16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3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0</v>
      </c>
      <c r="J50" s="16">
        <v>0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2</v>
      </c>
      <c r="J52" s="16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2</v>
      </c>
      <c r="J54" s="16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1</v>
      </c>
      <c r="J55" s="16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0</v>
      </c>
      <c r="J56" s="16">
        <v>1</v>
      </c>
      <c r="K56" s="6" t="str">
        <f t="shared" si="1"/>
        <v>2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1</v>
      </c>
      <c r="J58" s="16">
        <v>1</v>
      </c>
      <c r="K58" s="6" t="str">
        <f t="shared" si="1"/>
        <v>X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1</v>
      </c>
      <c r="K59" s="6" t="str">
        <f t="shared" si="1"/>
        <v>X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1</v>
      </c>
      <c r="J60" s="16">
        <v>1</v>
      </c>
      <c r="K60" s="6" t="str">
        <f t="shared" si="1"/>
        <v>X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0</v>
      </c>
      <c r="J61" s="16">
        <v>0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2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2</v>
      </c>
      <c r="J64" s="16">
        <v>2</v>
      </c>
      <c r="K64" s="6" t="str">
        <f t="shared" si="1"/>
        <v>X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1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1</v>
      </c>
      <c r="J67" s="16">
        <v>2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2</v>
      </c>
      <c r="J68" s="16">
        <v>1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2</v>
      </c>
      <c r="J69" s="16">
        <v>2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3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1</v>
      </c>
      <c r="J71" s="16">
        <v>1</v>
      </c>
      <c r="K71" s="6" t="str">
        <f t="shared" ref="K71:K102" si="2">IF(OR(I71="",J71=""),"",IF(I71&gt;J71,"1",IF(I71=J71,"X","2")))</f>
        <v>X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1</v>
      </c>
      <c r="J72" s="16">
        <v>0</v>
      </c>
      <c r="K72" s="6" t="str">
        <f t="shared" si="2"/>
        <v>1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1</v>
      </c>
      <c r="J73" s="16">
        <v>1</v>
      </c>
      <c r="K73" s="6" t="str">
        <f t="shared" si="2"/>
        <v>X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1</v>
      </c>
      <c r="J75" s="16">
        <v>3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0</v>
      </c>
      <c r="J77" s="16">
        <v>0</v>
      </c>
      <c r="K77" s="6" t="str">
        <f t="shared" si="2"/>
        <v>X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4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0</v>
      </c>
      <c r="J79" s="16">
        <v>0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0</v>
      </c>
      <c r="J80" s="16">
        <v>0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0</v>
      </c>
      <c r="J81" s="16">
        <v>0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0</v>
      </c>
      <c r="J82" s="16">
        <v>0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0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0</v>
      </c>
      <c r="J84" s="16">
        <v>0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0</v>
      </c>
      <c r="J85" s="16">
        <v>0</v>
      </c>
      <c r="K85" s="6" t="str">
        <f t="shared" si="2"/>
        <v>X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0</v>
      </c>
      <c r="J86" s="16">
        <v>0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0</v>
      </c>
      <c r="J87" s="16">
        <v>0</v>
      </c>
      <c r="K87" s="6" t="str">
        <f t="shared" si="2"/>
        <v>X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0</v>
      </c>
      <c r="J88" s="16">
        <v>0</v>
      </c>
      <c r="K88" s="6" t="str">
        <f t="shared" si="2"/>
        <v>X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0</v>
      </c>
      <c r="J89" s="16">
        <v>0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0</v>
      </c>
      <c r="J90" s="16">
        <v>0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0</v>
      </c>
      <c r="J91" s="16">
        <v>0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0</v>
      </c>
      <c r="J92" s="16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0</v>
      </c>
      <c r="J93" s="16">
        <v>0</v>
      </c>
      <c r="K93" s="6" t="str">
        <f t="shared" si="2"/>
        <v>X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0</v>
      </c>
      <c r="J94" s="16">
        <v>0</v>
      </c>
      <c r="K94" s="6" t="str">
        <f t="shared" si="2"/>
        <v>X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0</v>
      </c>
      <c r="J95" s="16">
        <v>0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0</v>
      </c>
      <c r="K96" s="6" t="str">
        <f t="shared" si="2"/>
        <v>X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0</v>
      </c>
      <c r="J97" s="16">
        <v>0</v>
      </c>
      <c r="K97" s="6" t="str">
        <f t="shared" si="2"/>
        <v>X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0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0</v>
      </c>
      <c r="J99" s="16">
        <v>0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0</v>
      </c>
      <c r="J100" s="16">
        <v>0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0</v>
      </c>
      <c r="J101" s="16">
        <v>0</v>
      </c>
      <c r="K101" s="6" t="str">
        <f t="shared" si="2"/>
        <v>X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0</v>
      </c>
      <c r="J102" s="16">
        <v>0</v>
      </c>
      <c r="K102" s="6" t="str">
        <f t="shared" si="2"/>
        <v>X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0</v>
      </c>
      <c r="J103" s="16">
        <v>0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0</v>
      </c>
      <c r="J104" s="16">
        <v>0</v>
      </c>
      <c r="K104" s="6" t="str">
        <f t="shared" si="3"/>
        <v>X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0</v>
      </c>
      <c r="J105" s="16">
        <v>0</v>
      </c>
      <c r="K105" s="6" t="str">
        <f t="shared" si="3"/>
        <v>X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0</v>
      </c>
      <c r="J106" s="16">
        <v>0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0</v>
      </c>
      <c r="J107" s="16">
        <v>0</v>
      </c>
      <c r="K107" s="6" t="str">
        <f t="shared" si="3"/>
        <v>X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0</v>
      </c>
      <c r="J108" s="16">
        <v>0</v>
      </c>
      <c r="K108" s="6" t="str">
        <f t="shared" si="3"/>
        <v>X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0</v>
      </c>
      <c r="J109" s="16">
        <v>0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0</v>
      </c>
      <c r="J110" s="16">
        <v>0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ribI47k5F/IDaTLgrYhad9Ew3baQmI4IFLMf+94xjYnFFpq27qA2O19oltBR32XI2k3RDNyF1ZjRluImhDAmkg==" saltValue="V/i37JhNbPCiIvfBwFFQUg==" spinCount="100000" sheet="1" objects="1" scenarios="1"/>
  <mergeCells count="2">
    <mergeCell ref="A1:M1"/>
    <mergeCell ref="B2:D2"/>
  </mergeCells>
  <conditionalFormatting sqref="I7:I110">
    <cfRule type="expression" dxfId="15" priority="1">
      <formula>AND(I7&lt;&gt;"",J7&lt;&gt;"")</formula>
    </cfRule>
  </conditionalFormatting>
  <conditionalFormatting sqref="J7:J110">
    <cfRule type="expression" dxfId="14" priority="2">
      <formula>AND(J7&lt;&gt;"",#REF!&lt;&gt;"")</formula>
    </cfRule>
  </conditionalFormatting>
  <dataValidations count="1">
    <dataValidation sqref="I7:J110" xr:uid="{00000000-0002-0000-12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10"/>
  <sheetViews>
    <sheetView workbookViewId="0">
      <selection activeCell="P24" sqref="P24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293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2</v>
      </c>
      <c r="J8" s="16">
        <v>2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1</v>
      </c>
      <c r="J9" s="16">
        <v>1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2</v>
      </c>
      <c r="K10" s="6" t="str">
        <f t="shared" si="0"/>
        <v>2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3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2</v>
      </c>
      <c r="J12" s="16">
        <v>0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1</v>
      </c>
      <c r="J13" s="16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1</v>
      </c>
      <c r="K14" s="6" t="str">
        <f t="shared" si="0"/>
        <v>X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3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2</v>
      </c>
      <c r="J16" s="16">
        <v>2</v>
      </c>
      <c r="K16" s="6" t="str">
        <f t="shared" si="0"/>
        <v>X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3</v>
      </c>
      <c r="K17" s="6" t="str">
        <f t="shared" si="0"/>
        <v>2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1</v>
      </c>
      <c r="J18" s="16">
        <v>1</v>
      </c>
      <c r="K18" s="6" t="str">
        <f t="shared" si="0"/>
        <v>X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4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1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0</v>
      </c>
      <c r="J22" s="16">
        <v>0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3</v>
      </c>
      <c r="J23" s="16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1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2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2</v>
      </c>
      <c r="J28" s="16">
        <v>1</v>
      </c>
      <c r="K28" s="6" t="str">
        <f t="shared" si="0"/>
        <v>1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2</v>
      </c>
      <c r="J29" s="16">
        <v>0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1</v>
      </c>
      <c r="J30" s="16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0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1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2</v>
      </c>
      <c r="J33" s="16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1</v>
      </c>
      <c r="J34" s="16">
        <v>1</v>
      </c>
      <c r="K34" s="6" t="str">
        <f t="shared" si="0"/>
        <v>X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2</v>
      </c>
      <c r="J35" s="16">
        <v>2</v>
      </c>
      <c r="K35" s="6" t="str">
        <f t="shared" si="0"/>
        <v>X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1</v>
      </c>
      <c r="J36" s="16">
        <v>1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1</v>
      </c>
      <c r="J38" s="16">
        <v>1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2</v>
      </c>
      <c r="J39" s="16">
        <v>0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4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1</v>
      </c>
      <c r="J41" s="16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1</v>
      </c>
      <c r="J42" s="16">
        <v>3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1</v>
      </c>
      <c r="J44" s="16">
        <v>1</v>
      </c>
      <c r="K44" s="6" t="str">
        <f t="shared" si="1"/>
        <v>X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3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0</v>
      </c>
      <c r="J46" s="16">
        <v>1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1</v>
      </c>
      <c r="J47" s="16">
        <v>1</v>
      </c>
      <c r="K47" s="6" t="str">
        <f t="shared" si="1"/>
        <v>X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1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1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4</v>
      </c>
      <c r="J52" s="16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1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1</v>
      </c>
      <c r="J54" s="16">
        <v>2</v>
      </c>
      <c r="K54" s="6" t="str">
        <f t="shared" si="1"/>
        <v>2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2</v>
      </c>
      <c r="J55" s="16">
        <v>0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2</v>
      </c>
      <c r="J56" s="16">
        <v>0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1</v>
      </c>
      <c r="J58" s="16">
        <v>1</v>
      </c>
      <c r="K58" s="6" t="str">
        <f t="shared" si="1"/>
        <v>X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3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1</v>
      </c>
      <c r="J60" s="16">
        <v>2</v>
      </c>
      <c r="K60" s="6" t="str">
        <f t="shared" si="1"/>
        <v>2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0</v>
      </c>
      <c r="J61" s="16">
        <v>0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1</v>
      </c>
      <c r="K62" s="6" t="str">
        <f t="shared" si="1"/>
        <v>X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1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1</v>
      </c>
      <c r="J64" s="16">
        <v>3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0</v>
      </c>
      <c r="K65" s="6" t="str">
        <f t="shared" si="1"/>
        <v>1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3</v>
      </c>
      <c r="J66" s="16">
        <v>1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1</v>
      </c>
      <c r="J67" s="16">
        <v>1</v>
      </c>
      <c r="K67" s="6" t="str">
        <f t="shared" si="1"/>
        <v>X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2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1</v>
      </c>
      <c r="J69" s="16">
        <v>2</v>
      </c>
      <c r="K69" s="6" t="str">
        <f t="shared" si="1"/>
        <v>2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1</v>
      </c>
      <c r="K70" s="6" t="str">
        <f t="shared" si="1"/>
        <v>X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1</v>
      </c>
      <c r="J71" s="16">
        <v>2</v>
      </c>
      <c r="K71" s="6" t="str">
        <f t="shared" ref="K71:K102" si="2">IF(OR(I71="",J71=""),"",IF(I71&gt;J71,"1",IF(I71=J71,"X","2")))</f>
        <v>2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1</v>
      </c>
      <c r="J72" s="16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0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2</v>
      </c>
      <c r="J75" s="16">
        <v>2</v>
      </c>
      <c r="K75" s="6" t="str">
        <f t="shared" si="2"/>
        <v>X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0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1</v>
      </c>
      <c r="J77" s="16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2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0</v>
      </c>
      <c r="J79" s="16">
        <v>0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0</v>
      </c>
      <c r="J80" s="16">
        <v>0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0</v>
      </c>
      <c r="J81" s="16">
        <v>0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0</v>
      </c>
      <c r="J82" s="16">
        <v>0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0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0</v>
      </c>
      <c r="J84" s="16">
        <v>0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0</v>
      </c>
      <c r="J85" s="16">
        <v>0</v>
      </c>
      <c r="K85" s="6" t="str">
        <f t="shared" si="2"/>
        <v>X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0</v>
      </c>
      <c r="J86" s="16">
        <v>0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0</v>
      </c>
      <c r="J87" s="16">
        <v>0</v>
      </c>
      <c r="K87" s="6" t="str">
        <f t="shared" si="2"/>
        <v>X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0</v>
      </c>
      <c r="J88" s="16">
        <v>0</v>
      </c>
      <c r="K88" s="6" t="str">
        <f t="shared" si="2"/>
        <v>X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0</v>
      </c>
      <c r="J89" s="16">
        <v>0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0</v>
      </c>
      <c r="J90" s="16">
        <v>0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0</v>
      </c>
      <c r="J91" s="16">
        <v>0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0</v>
      </c>
      <c r="J92" s="16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0</v>
      </c>
      <c r="J93" s="16">
        <v>0</v>
      </c>
      <c r="K93" s="6" t="str">
        <f t="shared" si="2"/>
        <v>X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0</v>
      </c>
      <c r="J94" s="16">
        <v>0</v>
      </c>
      <c r="K94" s="6" t="str">
        <f t="shared" si="2"/>
        <v>X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0</v>
      </c>
      <c r="J95" s="16">
        <v>0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0</v>
      </c>
      <c r="K96" s="6" t="str">
        <f t="shared" si="2"/>
        <v>X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0</v>
      </c>
      <c r="J97" s="16">
        <v>0</v>
      </c>
      <c r="K97" s="6" t="str">
        <f t="shared" si="2"/>
        <v>X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0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0</v>
      </c>
      <c r="J99" s="16">
        <v>0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0</v>
      </c>
      <c r="J100" s="16">
        <v>0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0</v>
      </c>
      <c r="J101" s="16">
        <v>0</v>
      </c>
      <c r="K101" s="6" t="str">
        <f t="shared" si="2"/>
        <v>X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0</v>
      </c>
      <c r="J102" s="16">
        <v>0</v>
      </c>
      <c r="K102" s="6" t="str">
        <f t="shared" si="2"/>
        <v>X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0</v>
      </c>
      <c r="J103" s="16">
        <v>0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0</v>
      </c>
      <c r="J104" s="16">
        <v>0</v>
      </c>
      <c r="K104" s="6" t="str">
        <f t="shared" si="3"/>
        <v>X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0</v>
      </c>
      <c r="J105" s="16">
        <v>0</v>
      </c>
      <c r="K105" s="6" t="str">
        <f t="shared" si="3"/>
        <v>X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0</v>
      </c>
      <c r="J106" s="16">
        <v>0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0</v>
      </c>
      <c r="J107" s="16">
        <v>0</v>
      </c>
      <c r="K107" s="6" t="str">
        <f t="shared" si="3"/>
        <v>X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0</v>
      </c>
      <c r="J108" s="16">
        <v>0</v>
      </c>
      <c r="K108" s="6" t="str">
        <f t="shared" si="3"/>
        <v>X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0</v>
      </c>
      <c r="J109" s="16">
        <v>0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0</v>
      </c>
      <c r="J110" s="16">
        <v>0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wNBy3/sMS/ZFb2Mpr6PLE9B9TERBUNXGxz52CDTXkS4rYuHd6cWj9YAFY3iD9f5NiRTCAmYFRNbsygzXm4xlAA==" saltValue="NvJWNHfJ6bl5wIGrEtb0Nw==" spinCount="100000" sheet="1" objects="1" scenarios="1"/>
  <mergeCells count="2">
    <mergeCell ref="A1:M1"/>
    <mergeCell ref="B2:D2"/>
  </mergeCells>
  <conditionalFormatting sqref="I7:I110">
    <cfRule type="expression" dxfId="11" priority="1">
      <formula>AND(I7&lt;&gt;"",J7&lt;&gt;"")</formula>
    </cfRule>
  </conditionalFormatting>
  <conditionalFormatting sqref="J7:J110">
    <cfRule type="expression" dxfId="10" priority="2">
      <formula>AND(J7&lt;&gt;"",#REF!&lt;&gt;"")</formula>
    </cfRule>
  </conditionalFormatting>
  <dataValidations count="1">
    <dataValidation sqref="I7:J110" xr:uid="{00000000-0002-0000-13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10"/>
  <sheetViews>
    <sheetView workbookViewId="0">
      <selection activeCell="M22" sqref="M22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294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3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2</v>
      </c>
      <c r="J8" s="16">
        <v>2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0</v>
      </c>
      <c r="J9" s="16">
        <v>1</v>
      </c>
      <c r="K9" s="6" t="str">
        <f t="shared" si="0"/>
        <v>2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1</v>
      </c>
      <c r="J10" s="16">
        <v>0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3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0</v>
      </c>
      <c r="J13" s="16">
        <v>2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1</v>
      </c>
      <c r="K14" s="6" t="str">
        <f t="shared" si="0"/>
        <v>X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5</v>
      </c>
      <c r="J15" s="16">
        <v>1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3</v>
      </c>
      <c r="J16" s="16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0</v>
      </c>
      <c r="J17" s="16">
        <v>0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1</v>
      </c>
      <c r="J18" s="16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2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2</v>
      </c>
      <c r="J20" s="16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3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0</v>
      </c>
      <c r="J22" s="16">
        <v>0</v>
      </c>
      <c r="K22" s="6" t="str">
        <f t="shared" si="0"/>
        <v>X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2</v>
      </c>
      <c r="J26" s="16">
        <v>1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4</v>
      </c>
      <c r="J27" s="16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1</v>
      </c>
      <c r="J28" s="16">
        <v>2</v>
      </c>
      <c r="K28" s="6" t="str">
        <f t="shared" si="0"/>
        <v>2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2</v>
      </c>
      <c r="J29" s="16">
        <v>2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1</v>
      </c>
      <c r="J31" s="16">
        <v>1</v>
      </c>
      <c r="K31" s="6" t="str">
        <f t="shared" si="0"/>
        <v>X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3</v>
      </c>
      <c r="J33" s="16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2</v>
      </c>
      <c r="J34" s="16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2</v>
      </c>
      <c r="J35" s="16">
        <v>2</v>
      </c>
      <c r="K35" s="6" t="str">
        <f t="shared" si="0"/>
        <v>X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1</v>
      </c>
      <c r="J36" s="16">
        <v>1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1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2</v>
      </c>
      <c r="J38" s="16">
        <v>1</v>
      </c>
      <c r="K38" s="6" t="str">
        <f t="shared" si="0"/>
        <v>1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1</v>
      </c>
      <c r="J39" s="16">
        <v>1</v>
      </c>
      <c r="K39" s="6" t="str">
        <f t="shared" ref="K39:K70" si="1">IF(OR(I39="",J39=""),"",IF(I39&gt;J39,"1",IF(I39=J39,"X","2")))</f>
        <v>X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3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3</v>
      </c>
      <c r="J41" s="16">
        <v>1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0</v>
      </c>
      <c r="J42" s="16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5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3</v>
      </c>
      <c r="J44" s="16">
        <v>1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2</v>
      </c>
      <c r="J45" s="16">
        <v>1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0</v>
      </c>
      <c r="J46" s="16">
        <v>1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4</v>
      </c>
      <c r="J47" s="16">
        <v>0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3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1</v>
      </c>
      <c r="J49" s="16">
        <v>0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3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2</v>
      </c>
      <c r="J52" s="16">
        <v>1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1</v>
      </c>
      <c r="J53" s="16">
        <v>3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2</v>
      </c>
      <c r="J54" s="16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1</v>
      </c>
      <c r="J55" s="16">
        <v>1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2</v>
      </c>
      <c r="J56" s="16">
        <v>1</v>
      </c>
      <c r="K56" s="6" t="str">
        <f t="shared" si="1"/>
        <v>1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3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2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1</v>
      </c>
      <c r="J60" s="16">
        <v>0</v>
      </c>
      <c r="K60" s="6" t="str">
        <f t="shared" si="1"/>
        <v>1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0</v>
      </c>
      <c r="J61" s="16">
        <v>3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1</v>
      </c>
      <c r="K62" s="6" t="str">
        <f t="shared" si="1"/>
        <v>X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3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0</v>
      </c>
      <c r="J64" s="16">
        <v>1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2</v>
      </c>
      <c r="J65" s="16">
        <v>2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2</v>
      </c>
      <c r="J67" s="16">
        <v>2</v>
      </c>
      <c r="K67" s="6" t="str">
        <f t="shared" si="1"/>
        <v>X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2</v>
      </c>
      <c r="J69" s="16">
        <v>2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2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1</v>
      </c>
      <c r="J71" s="16">
        <v>2</v>
      </c>
      <c r="K71" s="6" t="str">
        <f t="shared" ref="K71:K102" si="2">IF(OR(I71="",J71=""),"",IF(I71&gt;J71,"1",IF(I71=J71,"X","2")))</f>
        <v>2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0</v>
      </c>
      <c r="J72" s="16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1</v>
      </c>
      <c r="J73" s="16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1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1</v>
      </c>
      <c r="J75" s="16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0</v>
      </c>
      <c r="J76" s="16">
        <v>0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0</v>
      </c>
      <c r="J77" s="16">
        <v>1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0</v>
      </c>
      <c r="J79" s="16">
        <v>0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2</v>
      </c>
      <c r="J80" s="16">
        <v>1</v>
      </c>
      <c r="K80" s="6" t="str">
        <f t="shared" si="2"/>
        <v>1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2</v>
      </c>
      <c r="J81" s="16">
        <v>1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1</v>
      </c>
      <c r="J82" s="16">
        <v>1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0</v>
      </c>
      <c r="J83" s="16">
        <v>0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2</v>
      </c>
      <c r="J84" s="16">
        <v>1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3</v>
      </c>
      <c r="J85" s="16">
        <v>1</v>
      </c>
      <c r="K85" s="6" t="str">
        <f t="shared" si="2"/>
        <v>1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2</v>
      </c>
      <c r="J86" s="16">
        <v>2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4</v>
      </c>
      <c r="J87" s="16">
        <v>1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0</v>
      </c>
      <c r="J88" s="16">
        <v>1</v>
      </c>
      <c r="K88" s="6" t="str">
        <f t="shared" si="2"/>
        <v>2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2</v>
      </c>
      <c r="J89" s="16">
        <v>1</v>
      </c>
      <c r="K89" s="6" t="str">
        <f t="shared" si="2"/>
        <v>1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0</v>
      </c>
      <c r="J90" s="16">
        <v>1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1</v>
      </c>
      <c r="J91" s="16">
        <v>1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2</v>
      </c>
      <c r="J92" s="16">
        <v>0</v>
      </c>
      <c r="K92" s="6" t="str">
        <f t="shared" si="2"/>
        <v>1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2</v>
      </c>
      <c r="J93" s="16">
        <v>0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1</v>
      </c>
      <c r="J94" s="16">
        <v>0</v>
      </c>
      <c r="K94" s="6" t="str">
        <f t="shared" si="2"/>
        <v>1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1</v>
      </c>
      <c r="J95" s="16">
        <v>1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1</v>
      </c>
      <c r="K96" s="6" t="str">
        <f t="shared" si="2"/>
        <v>2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1</v>
      </c>
      <c r="J97" s="16">
        <v>2</v>
      </c>
      <c r="K97" s="6" t="str">
        <f t="shared" si="2"/>
        <v>2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2</v>
      </c>
      <c r="J98" s="16">
        <v>1</v>
      </c>
      <c r="K98" s="6" t="str">
        <f t="shared" si="2"/>
        <v>1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1</v>
      </c>
      <c r="J99" s="16">
        <v>1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0</v>
      </c>
      <c r="J100" s="16">
        <v>0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3</v>
      </c>
      <c r="J101" s="16">
        <v>1</v>
      </c>
      <c r="K101" s="6" t="str">
        <f t="shared" si="2"/>
        <v>1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1</v>
      </c>
      <c r="J102" s="16">
        <v>2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1</v>
      </c>
      <c r="J103" s="16">
        <v>1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0</v>
      </c>
      <c r="J104" s="16">
        <v>2</v>
      </c>
      <c r="K104" s="6" t="str">
        <f t="shared" si="3"/>
        <v>2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1</v>
      </c>
      <c r="J105" s="16">
        <v>2</v>
      </c>
      <c r="K105" s="6" t="str">
        <f t="shared" si="3"/>
        <v>2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2</v>
      </c>
      <c r="J106" s="16">
        <v>2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1</v>
      </c>
      <c r="J107" s="16">
        <v>2</v>
      </c>
      <c r="K107" s="6" t="str">
        <f t="shared" si="3"/>
        <v>2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2</v>
      </c>
      <c r="J108" s="16">
        <v>1</v>
      </c>
      <c r="K108" s="6" t="str">
        <f t="shared" si="3"/>
        <v>1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0</v>
      </c>
      <c r="J109" s="16">
        <v>0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1</v>
      </c>
      <c r="J110" s="16">
        <v>1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gHG/5UpwkWpt+YKBusPhquSwj/sboBKYraekHArqJHQYbBQnlROXhWx9zzjcTmLTokQxdZDOC2jtKDFu8km9mA==" saltValue="82EXcUwU9M57oZ6A57WKyw==" spinCount="100000" sheet="1" objects="1" scenarios="1"/>
  <mergeCells count="2">
    <mergeCell ref="A1:M1"/>
    <mergeCell ref="B2:D2"/>
  </mergeCells>
  <conditionalFormatting sqref="I7:I110">
    <cfRule type="expression" dxfId="7" priority="1">
      <formula>AND(I7&lt;&gt;"",J7&lt;&gt;"")</formula>
    </cfRule>
  </conditionalFormatting>
  <conditionalFormatting sqref="J7:J110">
    <cfRule type="expression" dxfId="6" priority="2">
      <formula>AND(J7&lt;&gt;"",#REF!&lt;&gt;"")</formula>
    </cfRule>
  </conditionalFormatting>
  <dataValidations count="1">
    <dataValidation sqref="I7:J110" xr:uid="{00000000-0002-0000-14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10"/>
  <sheetViews>
    <sheetView workbookViewId="0">
      <selection activeCell="O21" sqref="O21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295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16">
        <v>2</v>
      </c>
      <c r="J7" s="16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16">
        <v>0</v>
      </c>
      <c r="J8" s="16">
        <v>1</v>
      </c>
      <c r="K8" s="6" t="str">
        <f t="shared" si="0"/>
        <v>2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16">
        <v>2</v>
      </c>
      <c r="J9" s="16">
        <v>2</v>
      </c>
      <c r="K9" s="6" t="str">
        <f t="shared" si="0"/>
        <v>X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16">
        <v>2</v>
      </c>
      <c r="J10" s="16">
        <v>1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16">
        <v>0</v>
      </c>
      <c r="J11" s="16">
        <v>2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16">
        <v>3</v>
      </c>
      <c r="J12" s="16">
        <v>1</v>
      </c>
      <c r="K12" s="6" t="str">
        <f t="shared" si="0"/>
        <v>1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16">
        <v>0</v>
      </c>
      <c r="J13" s="16">
        <v>3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16">
        <v>1</v>
      </c>
      <c r="J14" s="16">
        <v>1</v>
      </c>
      <c r="K14" s="6" t="str">
        <f t="shared" si="0"/>
        <v>X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16">
        <v>3</v>
      </c>
      <c r="J15" s="16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16">
        <v>3</v>
      </c>
      <c r="J16" s="16">
        <v>1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16">
        <v>1</v>
      </c>
      <c r="J17" s="16">
        <v>1</v>
      </c>
      <c r="K17" s="6" t="str">
        <f t="shared" si="0"/>
        <v>X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16">
        <v>2</v>
      </c>
      <c r="J18" s="16">
        <v>0</v>
      </c>
      <c r="K18" s="6" t="str">
        <f t="shared" si="0"/>
        <v>1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16">
        <v>4</v>
      </c>
      <c r="J19" s="16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16">
        <v>2</v>
      </c>
      <c r="J20" s="16">
        <v>0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16">
        <v>1</v>
      </c>
      <c r="J21" s="16">
        <v>3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16">
        <v>0</v>
      </c>
      <c r="J22" s="16">
        <v>1</v>
      </c>
      <c r="K22" s="6" t="str">
        <f t="shared" si="0"/>
        <v>2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16">
        <v>2</v>
      </c>
      <c r="J23" s="16">
        <v>0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16">
        <v>0</v>
      </c>
      <c r="J24" s="16">
        <v>2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16">
        <v>2</v>
      </c>
      <c r="J25" s="16">
        <v>0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16">
        <v>1</v>
      </c>
      <c r="J26" s="16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16">
        <v>3</v>
      </c>
      <c r="J27" s="16">
        <v>1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16">
        <v>1</v>
      </c>
      <c r="J28" s="16">
        <v>2</v>
      </c>
      <c r="K28" s="6" t="str">
        <f t="shared" si="0"/>
        <v>2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16">
        <v>0</v>
      </c>
      <c r="J29" s="16">
        <v>0</v>
      </c>
      <c r="K29" s="6" t="str">
        <f t="shared" si="0"/>
        <v>X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16">
        <v>0</v>
      </c>
      <c r="J30" s="16">
        <v>1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16">
        <v>2</v>
      </c>
      <c r="J31" s="16">
        <v>1</v>
      </c>
      <c r="K31" s="6" t="str">
        <f t="shared" si="0"/>
        <v>1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16">
        <v>2</v>
      </c>
      <c r="J32" s="16">
        <v>0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16">
        <v>1</v>
      </c>
      <c r="J33" s="16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16">
        <v>2</v>
      </c>
      <c r="J34" s="16">
        <v>0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16">
        <v>0</v>
      </c>
      <c r="J35" s="16">
        <v>1</v>
      </c>
      <c r="K35" s="6" t="str">
        <f t="shared" si="0"/>
        <v>2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16">
        <v>2</v>
      </c>
      <c r="J36" s="16">
        <v>0</v>
      </c>
      <c r="K36" s="6" t="str">
        <f t="shared" si="0"/>
        <v>1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16">
        <v>3</v>
      </c>
      <c r="J37" s="16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16">
        <v>1</v>
      </c>
      <c r="J38" s="16">
        <v>2</v>
      </c>
      <c r="K38" s="6" t="str">
        <f t="shared" si="0"/>
        <v>2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16">
        <v>2</v>
      </c>
      <c r="J39" s="16">
        <v>2</v>
      </c>
      <c r="K39" s="6" t="str">
        <f t="shared" ref="K39:K70" si="1">IF(OR(I39="",J39=""),"",IF(I39&gt;J39,"1",IF(I39=J39,"X","2")))</f>
        <v>X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16">
        <v>3</v>
      </c>
      <c r="J40" s="16">
        <v>1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16">
        <v>1</v>
      </c>
      <c r="J41" s="16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16">
        <v>0</v>
      </c>
      <c r="J42" s="16">
        <v>1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16">
        <v>3</v>
      </c>
      <c r="J43" s="16">
        <v>1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16">
        <v>2</v>
      </c>
      <c r="J44" s="16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16">
        <v>1</v>
      </c>
      <c r="J45" s="16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16">
        <v>2</v>
      </c>
      <c r="J46" s="16">
        <v>1</v>
      </c>
      <c r="K46" s="6" t="str">
        <f t="shared" si="1"/>
        <v>1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16">
        <v>2</v>
      </c>
      <c r="J47" s="16">
        <v>2</v>
      </c>
      <c r="K47" s="6" t="str">
        <f t="shared" si="1"/>
        <v>X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16">
        <v>2</v>
      </c>
      <c r="J48" s="16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16">
        <v>2</v>
      </c>
      <c r="J49" s="16">
        <v>0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16">
        <v>1</v>
      </c>
      <c r="J50" s="16">
        <v>1</v>
      </c>
      <c r="K50" s="6" t="str">
        <f t="shared" si="1"/>
        <v>X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16">
        <v>2</v>
      </c>
      <c r="J51" s="16">
        <v>1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16">
        <v>3</v>
      </c>
      <c r="J52" s="16">
        <v>0</v>
      </c>
      <c r="K52" s="6" t="str">
        <f t="shared" si="1"/>
        <v>1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16">
        <v>0</v>
      </c>
      <c r="J53" s="16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16">
        <v>1</v>
      </c>
      <c r="J54" s="16">
        <v>0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16">
        <v>2</v>
      </c>
      <c r="J55" s="16">
        <v>1</v>
      </c>
      <c r="K55" s="6" t="str">
        <f t="shared" si="1"/>
        <v>1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16">
        <v>1</v>
      </c>
      <c r="J56" s="16">
        <v>1</v>
      </c>
      <c r="K56" s="6" t="str">
        <f t="shared" si="1"/>
        <v>X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16">
        <v>1</v>
      </c>
      <c r="J57" s="16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16">
        <v>1</v>
      </c>
      <c r="J58" s="16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16">
        <v>1</v>
      </c>
      <c r="J59" s="16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16">
        <v>2</v>
      </c>
      <c r="J60" s="16">
        <v>1</v>
      </c>
      <c r="K60" s="6" t="str">
        <f t="shared" si="1"/>
        <v>1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16">
        <v>1</v>
      </c>
      <c r="J61" s="16">
        <v>1</v>
      </c>
      <c r="K61" s="6" t="str">
        <f t="shared" si="1"/>
        <v>X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16">
        <v>1</v>
      </c>
      <c r="J62" s="16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16">
        <v>1</v>
      </c>
      <c r="J63" s="16">
        <v>2</v>
      </c>
      <c r="K63" s="6" t="str">
        <f t="shared" si="1"/>
        <v>2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16">
        <v>0</v>
      </c>
      <c r="J64" s="16">
        <v>2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16">
        <v>1</v>
      </c>
      <c r="J65" s="16">
        <v>2</v>
      </c>
      <c r="K65" s="6" t="str">
        <f t="shared" si="1"/>
        <v>2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16">
        <v>1</v>
      </c>
      <c r="J66" s="16">
        <v>1</v>
      </c>
      <c r="K66" s="6" t="str">
        <f t="shared" si="1"/>
        <v>X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16">
        <v>2</v>
      </c>
      <c r="J67" s="16">
        <v>1</v>
      </c>
      <c r="K67" s="6" t="str">
        <f t="shared" si="1"/>
        <v>1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16">
        <v>1</v>
      </c>
      <c r="J68" s="16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16">
        <v>0</v>
      </c>
      <c r="J69" s="16">
        <v>1</v>
      </c>
      <c r="K69" s="6" t="str">
        <f t="shared" si="1"/>
        <v>2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16">
        <v>1</v>
      </c>
      <c r="J70" s="16">
        <v>3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16">
        <v>1</v>
      </c>
      <c r="J71" s="16">
        <v>0</v>
      </c>
      <c r="K71" s="6" t="str">
        <f t="shared" ref="K71:K102" si="2">IF(OR(I71="",J71=""),"",IF(I71&gt;J71,"1",IF(I71=J71,"X","2")))</f>
        <v>1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16">
        <v>1</v>
      </c>
      <c r="J72" s="16">
        <v>2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16">
        <v>1</v>
      </c>
      <c r="J73" s="16">
        <v>3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16">
        <v>2</v>
      </c>
      <c r="J74" s="16">
        <v>0</v>
      </c>
      <c r="K74" s="6" t="str">
        <f t="shared" si="2"/>
        <v>1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16">
        <v>1</v>
      </c>
      <c r="J75" s="16">
        <v>3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16">
        <v>1</v>
      </c>
      <c r="J76" s="16">
        <v>1</v>
      </c>
      <c r="K76" s="6" t="str">
        <f t="shared" si="2"/>
        <v>X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16">
        <v>0</v>
      </c>
      <c r="J77" s="16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16">
        <v>0</v>
      </c>
      <c r="J78" s="16">
        <v>3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16">
        <v>1</v>
      </c>
      <c r="J79" s="16">
        <v>1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16">
        <v>2</v>
      </c>
      <c r="J80" s="16">
        <v>2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16">
        <v>1</v>
      </c>
      <c r="J81" s="16">
        <v>0</v>
      </c>
      <c r="K81" s="6" t="str">
        <f t="shared" si="2"/>
        <v>1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16">
        <v>1</v>
      </c>
      <c r="J82" s="16">
        <v>2</v>
      </c>
      <c r="K82" s="6" t="str">
        <f t="shared" si="2"/>
        <v>2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16">
        <v>2</v>
      </c>
      <c r="J83" s="16">
        <v>2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16">
        <v>1</v>
      </c>
      <c r="J84" s="16">
        <v>0</v>
      </c>
      <c r="K84" s="6" t="str">
        <f t="shared" si="2"/>
        <v>1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16">
        <v>0</v>
      </c>
      <c r="J85" s="16">
        <v>1</v>
      </c>
      <c r="K85" s="6" t="str">
        <f t="shared" si="2"/>
        <v>2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16">
        <v>1</v>
      </c>
      <c r="J86" s="16">
        <v>2</v>
      </c>
      <c r="K86" s="6" t="str">
        <f t="shared" si="2"/>
        <v>2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16">
        <v>1</v>
      </c>
      <c r="J87" s="16">
        <v>0</v>
      </c>
      <c r="K87" s="6" t="str">
        <f t="shared" si="2"/>
        <v>1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16">
        <v>2</v>
      </c>
      <c r="J88" s="16">
        <v>1</v>
      </c>
      <c r="K88" s="6" t="str">
        <f t="shared" si="2"/>
        <v>1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16">
        <v>2</v>
      </c>
      <c r="J89" s="16">
        <v>2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16">
        <v>0</v>
      </c>
      <c r="J90" s="16">
        <v>2</v>
      </c>
      <c r="K90" s="6" t="str">
        <f t="shared" si="2"/>
        <v>2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16">
        <v>1</v>
      </c>
      <c r="J91" s="16">
        <v>0</v>
      </c>
      <c r="K91" s="6" t="str">
        <f t="shared" si="2"/>
        <v>1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16">
        <v>1</v>
      </c>
      <c r="J92" s="16">
        <v>1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16">
        <v>2</v>
      </c>
      <c r="J93" s="16">
        <v>1</v>
      </c>
      <c r="K93" s="6" t="str">
        <f t="shared" si="2"/>
        <v>1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16">
        <v>1</v>
      </c>
      <c r="J94" s="16">
        <v>2</v>
      </c>
      <c r="K94" s="6" t="str">
        <f t="shared" si="2"/>
        <v>2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16">
        <v>0</v>
      </c>
      <c r="J95" s="16">
        <v>1</v>
      </c>
      <c r="K95" s="6" t="str">
        <f t="shared" si="2"/>
        <v>2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16">
        <v>0</v>
      </c>
      <c r="J96" s="16">
        <v>2</v>
      </c>
      <c r="K96" s="6" t="str">
        <f t="shared" si="2"/>
        <v>2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16">
        <v>2</v>
      </c>
      <c r="J97" s="16">
        <v>0</v>
      </c>
      <c r="K97" s="6" t="str">
        <f t="shared" si="2"/>
        <v>1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16">
        <v>0</v>
      </c>
      <c r="J98" s="16">
        <v>1</v>
      </c>
      <c r="K98" s="6" t="str">
        <f t="shared" si="2"/>
        <v>2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16">
        <v>2</v>
      </c>
      <c r="J99" s="16">
        <v>1</v>
      </c>
      <c r="K99" s="6" t="str">
        <f t="shared" si="2"/>
        <v>1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16">
        <v>2</v>
      </c>
      <c r="J100" s="16">
        <v>0</v>
      </c>
      <c r="K100" s="6" t="str">
        <f t="shared" si="2"/>
        <v>1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16">
        <v>1</v>
      </c>
      <c r="J101" s="16">
        <v>0</v>
      </c>
      <c r="K101" s="6" t="str">
        <f t="shared" si="2"/>
        <v>1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16">
        <v>0</v>
      </c>
      <c r="J102" s="16">
        <v>2</v>
      </c>
      <c r="K102" s="6" t="str">
        <f t="shared" si="2"/>
        <v>2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16">
        <v>1</v>
      </c>
      <c r="J103" s="16">
        <v>1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16">
        <v>0</v>
      </c>
      <c r="J104" s="16">
        <v>1</v>
      </c>
      <c r="K104" s="6" t="str">
        <f t="shared" si="3"/>
        <v>2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16">
        <v>2</v>
      </c>
      <c r="J105" s="16">
        <v>0</v>
      </c>
      <c r="K105" s="6" t="str">
        <f t="shared" si="3"/>
        <v>1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16">
        <v>1</v>
      </c>
      <c r="J106" s="16">
        <v>3</v>
      </c>
      <c r="K106" s="6" t="str">
        <f t="shared" si="3"/>
        <v>2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16">
        <v>3</v>
      </c>
      <c r="J107" s="16">
        <v>0</v>
      </c>
      <c r="K107" s="6" t="str">
        <f t="shared" si="3"/>
        <v>1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16">
        <v>1</v>
      </c>
      <c r="J108" s="16">
        <v>2</v>
      </c>
      <c r="K108" s="6" t="str">
        <f t="shared" si="3"/>
        <v>2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16">
        <v>1</v>
      </c>
      <c r="J109" s="16">
        <v>0</v>
      </c>
      <c r="K109" s="6" t="str">
        <f t="shared" si="3"/>
        <v>1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16">
        <v>1</v>
      </c>
      <c r="J110" s="16">
        <v>3</v>
      </c>
      <c r="K110" s="6" t="str">
        <f t="shared" si="3"/>
        <v>2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algorithmName="SHA-512" hashValue="a++izkv1SxRDGDzm+M/LFqs3qawy8/qVn3Wv/nGPztkRruyGlcQnahbyhE8gHkW/MRtVze//3c960JOKRwHuig==" saltValue="keZJYYJJ7Cbe8oxsi5HwsQ==" spinCount="100000" sheet="1" objects="1" scenarios="1"/>
  <mergeCells count="2">
    <mergeCell ref="A1:M1"/>
    <mergeCell ref="B2:D2"/>
  </mergeCells>
  <conditionalFormatting sqref="I7:I110">
    <cfRule type="expression" dxfId="3" priority="1">
      <formula>AND(I7&lt;&gt;"",J7&lt;&gt;"")</formula>
    </cfRule>
  </conditionalFormatting>
  <conditionalFormatting sqref="J7:J110">
    <cfRule type="expression" dxfId="2" priority="2">
      <formula>AND(J7&lt;&gt;"",#REF!&lt;&gt;"")</formula>
    </cfRule>
  </conditionalFormatting>
  <dataValidations count="1">
    <dataValidation sqref="I7:J110" xr:uid="{00000000-0002-0000-15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10"/>
  <sheetViews>
    <sheetView workbookViewId="0">
      <selection activeCell="Q23" sqref="Q23"/>
    </sheetView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296</v>
      </c>
      <c r="C2" s="31"/>
      <c r="D2" s="31"/>
      <c r="F2" s="2" t="s">
        <v>271</v>
      </c>
      <c r="G2" s="7">
        <f>SUM(L7:L110)</f>
        <v>1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1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23">
        <v>3</v>
      </c>
      <c r="J7" s="24">
        <v>1</v>
      </c>
      <c r="K7" s="6" t="str">
        <f t="shared" ref="K7:K38" si="0">IF(OR(I7="",J7=""),"",IF(I7&gt;J7,"1",IF(I7=J7,"X","2")))</f>
        <v>1</v>
      </c>
      <c r="L7" s="8">
        <f>IF(Matchschema!$K2="","",IF(AND(I7=Matchschema!$K2,J7=Matchschema!$L2),Regler!$B$4,IF(K7=Matchschema!$M2,Regler!$B$5,0)))</f>
        <v>1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23">
        <v>1</v>
      </c>
      <c r="J8" s="24">
        <v>1</v>
      </c>
      <c r="K8" s="6" t="str">
        <f t="shared" si="0"/>
        <v>X</v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23">
        <v>2</v>
      </c>
      <c r="J9" s="24">
        <v>1</v>
      </c>
      <c r="K9" s="6" t="str">
        <f t="shared" si="0"/>
        <v>1</v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23">
        <v>2</v>
      </c>
      <c r="J10" s="24">
        <v>0</v>
      </c>
      <c r="K10" s="6" t="str">
        <f t="shared" si="0"/>
        <v>1</v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23">
        <v>0</v>
      </c>
      <c r="J11" s="24">
        <v>4</v>
      </c>
      <c r="K11" s="6" t="str">
        <f t="shared" si="0"/>
        <v>2</v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23">
        <v>1</v>
      </c>
      <c r="J12" s="24">
        <v>2</v>
      </c>
      <c r="K12" s="6" t="str">
        <f t="shared" si="0"/>
        <v>2</v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23">
        <v>0</v>
      </c>
      <c r="J13" s="24">
        <v>1</v>
      </c>
      <c r="K13" s="6" t="str">
        <f t="shared" si="0"/>
        <v>2</v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23">
        <v>0</v>
      </c>
      <c r="J14" s="24">
        <v>2</v>
      </c>
      <c r="K14" s="6" t="str">
        <f t="shared" si="0"/>
        <v>2</v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23">
        <v>6</v>
      </c>
      <c r="J15" s="24">
        <v>0</v>
      </c>
      <c r="K15" s="6" t="str">
        <f t="shared" si="0"/>
        <v>1</v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23">
        <v>2</v>
      </c>
      <c r="J16" s="24">
        <v>0</v>
      </c>
      <c r="K16" s="6" t="str">
        <f t="shared" si="0"/>
        <v>1</v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23">
        <v>3</v>
      </c>
      <c r="J17" s="24">
        <v>1</v>
      </c>
      <c r="K17" s="6" t="str">
        <f t="shared" si="0"/>
        <v>1</v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23">
        <v>1</v>
      </c>
      <c r="J18" s="24">
        <v>1</v>
      </c>
      <c r="K18" s="6" t="str">
        <f t="shared" si="0"/>
        <v>X</v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23">
        <v>6</v>
      </c>
      <c r="J19" s="24">
        <v>0</v>
      </c>
      <c r="K19" s="6" t="str">
        <f t="shared" si="0"/>
        <v>1</v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23">
        <v>3</v>
      </c>
      <c r="J20" s="24">
        <v>1</v>
      </c>
      <c r="K20" s="6" t="str">
        <f t="shared" si="0"/>
        <v>1</v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23">
        <v>0</v>
      </c>
      <c r="J21" s="24">
        <v>2</v>
      </c>
      <c r="K21" s="6" t="str">
        <f t="shared" si="0"/>
        <v>2</v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23">
        <v>1</v>
      </c>
      <c r="J22" s="24">
        <v>0</v>
      </c>
      <c r="K22" s="6" t="str">
        <f t="shared" si="0"/>
        <v>1</v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23">
        <v>3</v>
      </c>
      <c r="J23" s="24">
        <v>1</v>
      </c>
      <c r="K23" s="6" t="str">
        <f t="shared" si="0"/>
        <v>1</v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23">
        <v>0</v>
      </c>
      <c r="J24" s="24">
        <v>3</v>
      </c>
      <c r="K24" s="6" t="str">
        <f t="shared" si="0"/>
        <v>2</v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23">
        <v>3</v>
      </c>
      <c r="J25" s="24">
        <v>1</v>
      </c>
      <c r="K25" s="6" t="str">
        <f t="shared" si="0"/>
        <v>1</v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23">
        <v>2</v>
      </c>
      <c r="J26" s="24">
        <v>0</v>
      </c>
      <c r="K26" s="6" t="str">
        <f t="shared" si="0"/>
        <v>1</v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23">
        <v>2</v>
      </c>
      <c r="J27" s="24">
        <v>0</v>
      </c>
      <c r="K27" s="6" t="str">
        <f t="shared" si="0"/>
        <v>1</v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23">
        <v>1</v>
      </c>
      <c r="J28" s="24">
        <v>1</v>
      </c>
      <c r="K28" s="6" t="str">
        <f t="shared" si="0"/>
        <v>X</v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23">
        <v>2</v>
      </c>
      <c r="J29" s="24">
        <v>1</v>
      </c>
      <c r="K29" s="6" t="str">
        <f t="shared" si="0"/>
        <v>1</v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23">
        <v>0</v>
      </c>
      <c r="J30" s="24">
        <v>2</v>
      </c>
      <c r="K30" s="6" t="str">
        <f t="shared" si="0"/>
        <v>2</v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23">
        <v>1</v>
      </c>
      <c r="J31" s="24">
        <v>2</v>
      </c>
      <c r="K31" s="6" t="str">
        <f t="shared" si="0"/>
        <v>2</v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23">
        <v>2</v>
      </c>
      <c r="J32" s="24">
        <v>1</v>
      </c>
      <c r="K32" s="6" t="str">
        <f t="shared" si="0"/>
        <v>1</v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23">
        <v>3</v>
      </c>
      <c r="J33" s="24">
        <v>0</v>
      </c>
      <c r="K33" s="6" t="str">
        <f t="shared" si="0"/>
        <v>1</v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23">
        <v>2</v>
      </c>
      <c r="J34" s="24">
        <v>1</v>
      </c>
      <c r="K34" s="6" t="str">
        <f t="shared" si="0"/>
        <v>1</v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23">
        <v>2</v>
      </c>
      <c r="J35" s="24">
        <v>0</v>
      </c>
      <c r="K35" s="6" t="str">
        <f t="shared" si="0"/>
        <v>1</v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23">
        <v>2</v>
      </c>
      <c r="J36" s="24">
        <v>2</v>
      </c>
      <c r="K36" s="6" t="str">
        <f t="shared" si="0"/>
        <v>X</v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23">
        <v>5</v>
      </c>
      <c r="J37" s="24">
        <v>0</v>
      </c>
      <c r="K37" s="6" t="str">
        <f t="shared" si="0"/>
        <v>1</v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23">
        <v>2</v>
      </c>
      <c r="J38" s="24">
        <v>2</v>
      </c>
      <c r="K38" s="6" t="str">
        <f t="shared" si="0"/>
        <v>X</v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23">
        <v>3</v>
      </c>
      <c r="J39" s="24">
        <v>0</v>
      </c>
      <c r="K39" s="6" t="str">
        <f t="shared" ref="K39:K70" si="1">IF(OR(I39="",J39=""),"",IF(I39&gt;J39,"1",IF(I39=J39,"X","2")))</f>
        <v>1</v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23">
        <v>2</v>
      </c>
      <c r="J40" s="24">
        <v>0</v>
      </c>
      <c r="K40" s="6" t="str">
        <f t="shared" si="1"/>
        <v>1</v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23">
        <v>2</v>
      </c>
      <c r="J41" s="24">
        <v>0</v>
      </c>
      <c r="K41" s="6" t="str">
        <f t="shared" si="1"/>
        <v>1</v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23">
        <v>1</v>
      </c>
      <c r="J42" s="24">
        <v>2</v>
      </c>
      <c r="K42" s="6" t="str">
        <f t="shared" si="1"/>
        <v>2</v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23">
        <v>4</v>
      </c>
      <c r="J43" s="24">
        <v>0</v>
      </c>
      <c r="K43" s="6" t="str">
        <f t="shared" si="1"/>
        <v>1</v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23">
        <v>3</v>
      </c>
      <c r="J44" s="24">
        <v>0</v>
      </c>
      <c r="K44" s="6" t="str">
        <f t="shared" si="1"/>
        <v>1</v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23">
        <v>2</v>
      </c>
      <c r="J45" s="24">
        <v>0</v>
      </c>
      <c r="K45" s="6" t="str">
        <f t="shared" si="1"/>
        <v>1</v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23">
        <v>0</v>
      </c>
      <c r="J46" s="24">
        <v>2</v>
      </c>
      <c r="K46" s="6" t="str">
        <f t="shared" si="1"/>
        <v>2</v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23">
        <v>2</v>
      </c>
      <c r="J47" s="24">
        <v>1</v>
      </c>
      <c r="K47" s="6" t="str">
        <f t="shared" si="1"/>
        <v>1</v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23">
        <v>3</v>
      </c>
      <c r="J48" s="24">
        <v>0</v>
      </c>
      <c r="K48" s="6" t="str">
        <f t="shared" si="1"/>
        <v>1</v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23">
        <v>2</v>
      </c>
      <c r="J49" s="24">
        <v>1</v>
      </c>
      <c r="K49" s="6" t="str">
        <f t="shared" si="1"/>
        <v>1</v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23">
        <v>0</v>
      </c>
      <c r="J50" s="24">
        <v>2</v>
      </c>
      <c r="K50" s="6" t="str">
        <f t="shared" si="1"/>
        <v>2</v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23">
        <v>3</v>
      </c>
      <c r="J51" s="24">
        <v>0</v>
      </c>
      <c r="K51" s="6" t="str">
        <f t="shared" si="1"/>
        <v>1</v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23">
        <v>1</v>
      </c>
      <c r="J52" s="24">
        <v>2</v>
      </c>
      <c r="K52" s="6" t="str">
        <f t="shared" si="1"/>
        <v>2</v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23">
        <v>1</v>
      </c>
      <c r="J53" s="24">
        <v>2</v>
      </c>
      <c r="K53" s="6" t="str">
        <f t="shared" si="1"/>
        <v>2</v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23">
        <v>2</v>
      </c>
      <c r="J54" s="24">
        <v>1</v>
      </c>
      <c r="K54" s="6" t="str">
        <f t="shared" si="1"/>
        <v>1</v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23">
        <v>2</v>
      </c>
      <c r="J55" s="24">
        <v>2</v>
      </c>
      <c r="K55" s="6" t="str">
        <f t="shared" si="1"/>
        <v>X</v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23">
        <v>1</v>
      </c>
      <c r="J56" s="24">
        <v>1</v>
      </c>
      <c r="K56" s="6" t="str">
        <f t="shared" si="1"/>
        <v>X</v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23">
        <v>0</v>
      </c>
      <c r="J57" s="24">
        <v>2</v>
      </c>
      <c r="K57" s="6" t="str">
        <f t="shared" si="1"/>
        <v>2</v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23">
        <v>2</v>
      </c>
      <c r="J58" s="24">
        <v>0</v>
      </c>
      <c r="K58" s="6" t="str">
        <f t="shared" si="1"/>
        <v>1</v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23">
        <v>1</v>
      </c>
      <c r="J59" s="24">
        <v>2</v>
      </c>
      <c r="K59" s="6" t="str">
        <f t="shared" si="1"/>
        <v>2</v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23">
        <v>2</v>
      </c>
      <c r="J60" s="24">
        <v>2</v>
      </c>
      <c r="K60" s="6" t="str">
        <f t="shared" si="1"/>
        <v>X</v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23">
        <v>0</v>
      </c>
      <c r="J61" s="24">
        <v>5</v>
      </c>
      <c r="K61" s="6" t="str">
        <f t="shared" si="1"/>
        <v>2</v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23">
        <v>0</v>
      </c>
      <c r="J62" s="24">
        <v>2</v>
      </c>
      <c r="K62" s="6" t="str">
        <f t="shared" si="1"/>
        <v>2</v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23">
        <v>2</v>
      </c>
      <c r="J63" s="24">
        <v>2</v>
      </c>
      <c r="K63" s="6" t="str">
        <f t="shared" si="1"/>
        <v>X</v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23">
        <v>1</v>
      </c>
      <c r="J64" s="24">
        <v>3</v>
      </c>
      <c r="K64" s="6" t="str">
        <f t="shared" si="1"/>
        <v>2</v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23">
        <v>2</v>
      </c>
      <c r="J65" s="24">
        <v>2</v>
      </c>
      <c r="K65" s="6" t="str">
        <f t="shared" si="1"/>
        <v>X</v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23">
        <v>2</v>
      </c>
      <c r="J66" s="24">
        <v>1</v>
      </c>
      <c r="K66" s="6" t="str">
        <f t="shared" si="1"/>
        <v>1</v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23">
        <v>1</v>
      </c>
      <c r="J67" s="24">
        <v>3</v>
      </c>
      <c r="K67" s="6" t="str">
        <f t="shared" si="1"/>
        <v>2</v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23">
        <v>2</v>
      </c>
      <c r="J68" s="24">
        <v>0</v>
      </c>
      <c r="K68" s="6" t="str">
        <f t="shared" si="1"/>
        <v>1</v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23">
        <v>1</v>
      </c>
      <c r="J69" s="24">
        <v>1</v>
      </c>
      <c r="K69" s="6" t="str">
        <f t="shared" si="1"/>
        <v>X</v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23">
        <v>1</v>
      </c>
      <c r="J70" s="24">
        <v>3</v>
      </c>
      <c r="K70" s="6" t="str">
        <f t="shared" si="1"/>
        <v>2</v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23">
        <v>2</v>
      </c>
      <c r="J71" s="24">
        <v>1</v>
      </c>
      <c r="K71" s="6" t="str">
        <f t="shared" ref="K71:K102" si="2">IF(OR(I71="",J71=""),"",IF(I71&gt;J71,"1",IF(I71=J71,"X","2")))</f>
        <v>1</v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23">
        <v>0</v>
      </c>
      <c r="J72" s="24">
        <v>3</v>
      </c>
      <c r="K72" s="6" t="str">
        <f t="shared" si="2"/>
        <v>2</v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23">
        <v>1</v>
      </c>
      <c r="J73" s="24">
        <v>2</v>
      </c>
      <c r="K73" s="6" t="str">
        <f t="shared" si="2"/>
        <v>2</v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23">
        <v>2</v>
      </c>
      <c r="J74" s="24">
        <v>2</v>
      </c>
      <c r="K74" s="6" t="str">
        <f t="shared" si="2"/>
        <v>X</v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23">
        <v>1</v>
      </c>
      <c r="J75" s="24">
        <v>2</v>
      </c>
      <c r="K75" s="6" t="str">
        <f t="shared" si="2"/>
        <v>2</v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23">
        <v>2</v>
      </c>
      <c r="J76" s="24">
        <v>0</v>
      </c>
      <c r="K76" s="6" t="str">
        <f t="shared" si="2"/>
        <v>1</v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23">
        <v>1</v>
      </c>
      <c r="J77" s="24">
        <v>2</v>
      </c>
      <c r="K77" s="6" t="str">
        <f t="shared" si="2"/>
        <v>2</v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23">
        <v>0</v>
      </c>
      <c r="J78" s="24">
        <v>4</v>
      </c>
      <c r="K78" s="6" t="str">
        <f t="shared" si="2"/>
        <v>2</v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23">
        <v>0</v>
      </c>
      <c r="J79" s="24">
        <v>0</v>
      </c>
      <c r="K79" s="6" t="str">
        <f t="shared" si="2"/>
        <v>X</v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23">
        <v>0</v>
      </c>
      <c r="J80" s="24">
        <v>0</v>
      </c>
      <c r="K80" s="6" t="str">
        <f t="shared" si="2"/>
        <v>X</v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23">
        <v>0</v>
      </c>
      <c r="J81" s="24">
        <v>0</v>
      </c>
      <c r="K81" s="6" t="str">
        <f t="shared" si="2"/>
        <v>X</v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23">
        <v>0</v>
      </c>
      <c r="J82" s="24">
        <v>0</v>
      </c>
      <c r="K82" s="6" t="str">
        <f t="shared" si="2"/>
        <v>X</v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23">
        <v>0</v>
      </c>
      <c r="J83" s="24">
        <v>0</v>
      </c>
      <c r="K83" s="6" t="str">
        <f t="shared" si="2"/>
        <v>X</v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23">
        <v>0</v>
      </c>
      <c r="J84" s="24">
        <v>0</v>
      </c>
      <c r="K84" s="6" t="str">
        <f t="shared" si="2"/>
        <v>X</v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23">
        <v>0</v>
      </c>
      <c r="J85" s="24">
        <v>0</v>
      </c>
      <c r="K85" s="6" t="str">
        <f t="shared" si="2"/>
        <v>X</v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23">
        <v>0</v>
      </c>
      <c r="J86" s="24">
        <v>0</v>
      </c>
      <c r="K86" s="6" t="str">
        <f t="shared" si="2"/>
        <v>X</v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23">
        <v>0</v>
      </c>
      <c r="J87" s="24">
        <v>0</v>
      </c>
      <c r="K87" s="6" t="str">
        <f t="shared" si="2"/>
        <v>X</v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23">
        <v>0</v>
      </c>
      <c r="J88" s="24">
        <v>0</v>
      </c>
      <c r="K88" s="6" t="str">
        <f t="shared" si="2"/>
        <v>X</v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23">
        <v>0</v>
      </c>
      <c r="J89" s="24">
        <v>0</v>
      </c>
      <c r="K89" s="6" t="str">
        <f t="shared" si="2"/>
        <v>X</v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23">
        <v>0</v>
      </c>
      <c r="J90" s="24">
        <v>0</v>
      </c>
      <c r="K90" s="6" t="str">
        <f t="shared" si="2"/>
        <v>X</v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23">
        <v>0</v>
      </c>
      <c r="J91" s="24">
        <v>0</v>
      </c>
      <c r="K91" s="6" t="str">
        <f t="shared" si="2"/>
        <v>X</v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23">
        <v>0</v>
      </c>
      <c r="J92" s="24">
        <v>0</v>
      </c>
      <c r="K92" s="6" t="str">
        <f t="shared" si="2"/>
        <v>X</v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23">
        <v>0</v>
      </c>
      <c r="J93" s="24">
        <v>0</v>
      </c>
      <c r="K93" s="6" t="str">
        <f t="shared" si="2"/>
        <v>X</v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23">
        <v>0</v>
      </c>
      <c r="J94" s="24">
        <v>0</v>
      </c>
      <c r="K94" s="6" t="str">
        <f t="shared" si="2"/>
        <v>X</v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23">
        <v>0</v>
      </c>
      <c r="J95" s="24">
        <v>0</v>
      </c>
      <c r="K95" s="6" t="str">
        <f t="shared" si="2"/>
        <v>X</v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23">
        <v>0</v>
      </c>
      <c r="J96" s="24">
        <v>0</v>
      </c>
      <c r="K96" s="6" t="str">
        <f t="shared" si="2"/>
        <v>X</v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23">
        <v>0</v>
      </c>
      <c r="J97" s="24">
        <v>0</v>
      </c>
      <c r="K97" s="6" t="str">
        <f t="shared" si="2"/>
        <v>X</v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23">
        <v>0</v>
      </c>
      <c r="J98" s="24">
        <v>0</v>
      </c>
      <c r="K98" s="6" t="str">
        <f t="shared" si="2"/>
        <v>X</v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23">
        <v>0</v>
      </c>
      <c r="J99" s="24">
        <v>0</v>
      </c>
      <c r="K99" s="6" t="str">
        <f t="shared" si="2"/>
        <v>X</v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23">
        <v>0</v>
      </c>
      <c r="J100" s="24">
        <v>0</v>
      </c>
      <c r="K100" s="6" t="str">
        <f t="shared" si="2"/>
        <v>X</v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23">
        <v>0</v>
      </c>
      <c r="J101" s="24">
        <v>0</v>
      </c>
      <c r="K101" s="6" t="str">
        <f t="shared" si="2"/>
        <v>X</v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23">
        <v>0</v>
      </c>
      <c r="J102" s="24">
        <v>0</v>
      </c>
      <c r="K102" s="6" t="str">
        <f t="shared" si="2"/>
        <v>X</v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23">
        <v>0</v>
      </c>
      <c r="J103" s="24">
        <v>0</v>
      </c>
      <c r="K103" s="6" t="str">
        <f t="shared" ref="K103:K110" si="3">IF(OR(I103="",J103=""),"",IF(I103&gt;J103,"1",IF(I103=J103,"X","2")))</f>
        <v>X</v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23">
        <v>0</v>
      </c>
      <c r="J104" s="24">
        <v>0</v>
      </c>
      <c r="K104" s="6" t="str">
        <f t="shared" si="3"/>
        <v>X</v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23">
        <v>0</v>
      </c>
      <c r="J105" s="24">
        <v>0</v>
      </c>
      <c r="K105" s="6" t="str">
        <f t="shared" si="3"/>
        <v>X</v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23">
        <v>0</v>
      </c>
      <c r="J106" s="24">
        <v>0</v>
      </c>
      <c r="K106" s="6" t="str">
        <f t="shared" si="3"/>
        <v>X</v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23">
        <v>0</v>
      </c>
      <c r="J107" s="24">
        <v>0</v>
      </c>
      <c r="K107" s="6" t="str">
        <f t="shared" si="3"/>
        <v>X</v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23">
        <v>0</v>
      </c>
      <c r="J108" s="24">
        <v>0</v>
      </c>
      <c r="K108" s="6" t="str">
        <f t="shared" si="3"/>
        <v>X</v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23">
        <v>0</v>
      </c>
      <c r="J109" s="24">
        <v>0</v>
      </c>
      <c r="K109" s="6" t="str">
        <f t="shared" si="3"/>
        <v>X</v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23">
        <v>0</v>
      </c>
      <c r="J110" s="24">
        <v>0</v>
      </c>
      <c r="K110" s="6" t="str">
        <f t="shared" si="3"/>
        <v>X</v>
      </c>
      <c r="L110" s="8" t="str">
        <f>IF(Matchschema!$K105="","",IF(AND(I110=Matchschema!$K105,J110=Matchschema!$L105),Regler!$B$4,IF(K110=Matchschema!$M105,Regler!$B$5,0)))</f>
        <v/>
      </c>
      <c r="M110" s="3"/>
    </row>
  </sheetData>
  <sheetProtection sheet="1" objects="1" scenarios="1"/>
  <mergeCells count="2">
    <mergeCell ref="A1:M1"/>
    <mergeCell ref="B2:D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52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7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53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8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54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9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55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A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56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B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57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C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58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D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59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E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60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1F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10"/>
  <sheetViews>
    <sheetView workbookViewId="0"/>
  </sheetViews>
  <sheetFormatPr defaultRowHeight="14.25"/>
  <cols>
    <col min="1" max="1" width="6" customWidth="1"/>
    <col min="2" max="2" width="14" customWidth="1"/>
    <col min="3" max="3" width="8" customWidth="1"/>
    <col min="4" max="4" width="12" customWidth="1"/>
    <col min="5" max="5" width="10" customWidth="1"/>
    <col min="6" max="7" width="22" customWidth="1"/>
    <col min="8" max="8" width="32" customWidth="1"/>
    <col min="9" max="10" width="9" customWidth="1"/>
    <col min="11" max="12" width="10" customWidth="1"/>
    <col min="13" max="13" width="28" customWidth="1"/>
  </cols>
  <sheetData>
    <row r="1" spans="1:13" ht="19.5">
      <c r="A1" s="29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>
      <c r="A2" t="s">
        <v>269</v>
      </c>
      <c r="B2" s="30" t="s">
        <v>61</v>
      </c>
      <c r="C2" s="31"/>
      <c r="D2" s="31"/>
      <c r="F2" s="2" t="s">
        <v>271</v>
      </c>
      <c r="G2" s="7">
        <f>SUM(L7:L110)</f>
        <v>0</v>
      </c>
      <c r="H2" s="7"/>
      <c r="I2" s="7" t="s">
        <v>7</v>
      </c>
      <c r="J2" s="7">
        <f>SUMPRODUCT(--(I7:I110=Matchschema!$K$2:$K$105),--(J7:J110=Matchschema!$L$2:$L$105),--(Matchschema!$K$2:$K$105&lt;&gt;""))</f>
        <v>0</v>
      </c>
      <c r="K2" s="2" t="s">
        <v>8</v>
      </c>
      <c r="L2" s="2">
        <f>SUMPRODUCT(--(K7:K110=Matchschema!$M$2:$M$105),--(Matchschema!$M$2:$M$105&lt;&gt;""))</f>
        <v>0</v>
      </c>
    </row>
    <row r="6" spans="1:13" ht="15">
      <c r="A6" s="1" t="s">
        <v>62</v>
      </c>
      <c r="B6" s="1" t="s">
        <v>63</v>
      </c>
      <c r="C6" s="1" t="s">
        <v>64</v>
      </c>
      <c r="D6" s="1" t="s">
        <v>272</v>
      </c>
      <c r="E6" s="1" t="s">
        <v>273</v>
      </c>
      <c r="F6" s="1" t="s">
        <v>69</v>
      </c>
      <c r="G6" s="1" t="s">
        <v>70</v>
      </c>
      <c r="H6" s="1" t="s">
        <v>71</v>
      </c>
      <c r="I6" s="1" t="s">
        <v>274</v>
      </c>
      <c r="J6" s="1" t="s">
        <v>275</v>
      </c>
      <c r="K6" s="1" t="s">
        <v>276</v>
      </c>
      <c r="L6" s="1" t="s">
        <v>6</v>
      </c>
      <c r="M6" s="1" t="s">
        <v>277</v>
      </c>
    </row>
    <row r="7" spans="1:13" ht="15">
      <c r="A7" s="3">
        <f>Matchschema!A2</f>
        <v>1</v>
      </c>
      <c r="B7" s="3" t="str">
        <f>Matchschema!B2</f>
        <v>Gruppspel</v>
      </c>
      <c r="C7" s="3" t="str">
        <f>Matchschema!C2</f>
        <v>A</v>
      </c>
      <c r="D7" s="4">
        <f>Matchschema!D2</f>
        <v>46184.875</v>
      </c>
      <c r="E7" s="3" t="str">
        <f>Matchschema!E2</f>
        <v>21:00</v>
      </c>
      <c r="F7" s="3" t="str">
        <f>Matchschema!H2</f>
        <v>Mexico</v>
      </c>
      <c r="G7" s="3" t="str">
        <f>Matchschema!I2</f>
        <v>South Africa</v>
      </c>
      <c r="H7" s="3" t="str">
        <f>Matchschema!J2</f>
        <v>Estadio Azteca, Mexico City</v>
      </c>
      <c r="I7" s="5"/>
      <c r="J7" s="5"/>
      <c r="K7" s="6" t="str">
        <f t="shared" ref="K7:K38" si="0">IF(OR(I7="",J7=""),"",IF(I7&gt;J7,"1",IF(I7=J7,"X","2")))</f>
        <v/>
      </c>
      <c r="L7" s="8">
        <f>IF(Matchschema!$K2="","",IF(AND(I7=Matchschema!$K2,J7=Matchschema!$L2),Regler!$B$4,IF(K7=Matchschema!$M2,Regler!$B$5,0)))</f>
        <v>0</v>
      </c>
      <c r="M7" s="3"/>
    </row>
    <row r="8" spans="1:13" ht="15">
      <c r="A8" s="3">
        <f>Matchschema!A3</f>
        <v>2</v>
      </c>
      <c r="B8" s="3" t="str">
        <f>Matchschema!B3</f>
        <v>Gruppspel</v>
      </c>
      <c r="C8" s="3" t="str">
        <f>Matchschema!C3</f>
        <v>A</v>
      </c>
      <c r="D8" s="4">
        <f>Matchschema!D3</f>
        <v>46185.166666666664</v>
      </c>
      <c r="E8" s="3" t="str">
        <f>Matchschema!E3</f>
        <v>04:00</v>
      </c>
      <c r="F8" s="3" t="str">
        <f>Matchschema!H3</f>
        <v>South Korea</v>
      </c>
      <c r="G8" s="3" t="str">
        <f>Matchschema!I3</f>
        <v>Czechia</v>
      </c>
      <c r="H8" s="3" t="str">
        <f>Matchschema!J3</f>
        <v>Estadio Akron, Zapopan</v>
      </c>
      <c r="I8" s="5"/>
      <c r="J8" s="5"/>
      <c r="K8" s="6" t="str">
        <f t="shared" si="0"/>
        <v/>
      </c>
      <c r="L8" s="8" t="str">
        <f>IF(Matchschema!$K3="","",IF(AND(I8=Matchschema!$K3,J8=Matchschema!$L3),Regler!$B$4,IF(K8=Matchschema!$M3,Regler!$B$5,0)))</f>
        <v/>
      </c>
      <c r="M8" s="3"/>
    </row>
    <row r="9" spans="1:13" ht="15">
      <c r="A9" s="3">
        <f>Matchschema!A4</f>
        <v>3</v>
      </c>
      <c r="B9" s="3" t="str">
        <f>Matchschema!B4</f>
        <v>Gruppspel</v>
      </c>
      <c r="C9" s="3" t="str">
        <f>Matchschema!C4</f>
        <v>B</v>
      </c>
      <c r="D9" s="4">
        <f>Matchschema!D4</f>
        <v>46185.875</v>
      </c>
      <c r="E9" s="3" t="str">
        <f>Matchschema!E4</f>
        <v>21:00</v>
      </c>
      <c r="F9" s="3" t="str">
        <f>Matchschema!H4</f>
        <v>Canada</v>
      </c>
      <c r="G9" s="3" t="str">
        <f>Matchschema!I4</f>
        <v>Bosnia &amp; Herzegovina</v>
      </c>
      <c r="H9" s="3" t="str">
        <f>Matchschema!J4</f>
        <v>BMO Field, Toronto</v>
      </c>
      <c r="I9" s="5"/>
      <c r="J9" s="5"/>
      <c r="K9" s="6" t="str">
        <f t="shared" si="0"/>
        <v/>
      </c>
      <c r="L9" s="8" t="str">
        <f>IF(Matchschema!$K4="","",IF(AND(I9=Matchschema!$K4,J9=Matchschema!$L4),Regler!$B$4,IF(K9=Matchschema!$M4,Regler!$B$5,0)))</f>
        <v/>
      </c>
      <c r="M9" s="3"/>
    </row>
    <row r="10" spans="1:13" ht="15">
      <c r="A10" s="3">
        <f>Matchschema!A5</f>
        <v>4</v>
      </c>
      <c r="B10" s="3" t="str">
        <f>Matchschema!B5</f>
        <v>Gruppspel</v>
      </c>
      <c r="C10" s="3" t="str">
        <f>Matchschema!C5</f>
        <v>D</v>
      </c>
      <c r="D10" s="4">
        <f>Matchschema!D5</f>
        <v>46186.125</v>
      </c>
      <c r="E10" s="3" t="str">
        <f>Matchschema!E5</f>
        <v>03:00</v>
      </c>
      <c r="F10" s="3" t="str">
        <f>Matchschema!H5</f>
        <v>USA</v>
      </c>
      <c r="G10" s="3" t="str">
        <f>Matchschema!I5</f>
        <v>Paraguay</v>
      </c>
      <c r="H10" s="3" t="str">
        <f>Matchschema!J5</f>
        <v>SoFi Stadium, Inglewood</v>
      </c>
      <c r="I10" s="5"/>
      <c r="J10" s="5"/>
      <c r="K10" s="6" t="str">
        <f t="shared" si="0"/>
        <v/>
      </c>
      <c r="L10" s="8" t="str">
        <f>IF(Matchschema!$K5="","",IF(AND(I10=Matchschema!$K5,J10=Matchschema!$L5),Regler!$B$4,IF(K10=Matchschema!$M5,Regler!$B$5,0)))</f>
        <v/>
      </c>
      <c r="M10" s="3"/>
    </row>
    <row r="11" spans="1:13" ht="15">
      <c r="A11" s="3">
        <f>Matchschema!A6</f>
        <v>5</v>
      </c>
      <c r="B11" s="3" t="str">
        <f>Matchschema!B6</f>
        <v>Gruppspel</v>
      </c>
      <c r="C11" s="3" t="str">
        <f>Matchschema!C6</f>
        <v>B</v>
      </c>
      <c r="D11" s="4">
        <f>Matchschema!D6</f>
        <v>46186.875</v>
      </c>
      <c r="E11" s="3" t="str">
        <f>Matchschema!E6</f>
        <v>21:00</v>
      </c>
      <c r="F11" s="3" t="str">
        <f>Matchschema!H6</f>
        <v>Qatar</v>
      </c>
      <c r="G11" s="3" t="str">
        <f>Matchschema!I6</f>
        <v>Switzerland</v>
      </c>
      <c r="H11" s="3" t="str">
        <f>Matchschema!J6</f>
        <v>Levi’s Stadium, Santa Clara</v>
      </c>
      <c r="I11" s="5"/>
      <c r="J11" s="5"/>
      <c r="K11" s="6" t="str">
        <f t="shared" si="0"/>
        <v/>
      </c>
      <c r="L11" s="8" t="str">
        <f>IF(Matchschema!$K6="","",IF(AND(I11=Matchschema!$K6,J11=Matchschema!$L6),Regler!$B$4,IF(K11=Matchschema!$M6,Regler!$B$5,0)))</f>
        <v/>
      </c>
      <c r="M11" s="3"/>
    </row>
    <row r="12" spans="1:13" ht="15">
      <c r="A12" s="3">
        <f>Matchschema!A7</f>
        <v>6</v>
      </c>
      <c r="B12" s="3" t="str">
        <f>Matchschema!B7</f>
        <v>Gruppspel</v>
      </c>
      <c r="C12" s="3" t="str">
        <f>Matchschema!C7</f>
        <v>C</v>
      </c>
      <c r="D12" s="4">
        <f>Matchschema!D7</f>
        <v>46187</v>
      </c>
      <c r="E12" s="3" t="str">
        <f>Matchschema!E7</f>
        <v>00:00</v>
      </c>
      <c r="F12" s="3" t="str">
        <f>Matchschema!H7</f>
        <v>Brazil</v>
      </c>
      <c r="G12" s="3" t="str">
        <f>Matchschema!I7</f>
        <v>Morocco</v>
      </c>
      <c r="H12" s="3" t="str">
        <f>Matchschema!J7</f>
        <v>MetLife Stadium, East Rutherford</v>
      </c>
      <c r="I12" s="5"/>
      <c r="J12" s="5"/>
      <c r="K12" s="6" t="str">
        <f t="shared" si="0"/>
        <v/>
      </c>
      <c r="L12" s="8" t="str">
        <f>IF(Matchschema!$K7="","",IF(AND(I12=Matchschema!$K7,J12=Matchschema!$L7),Regler!$B$4,IF(K12=Matchschema!$M7,Regler!$B$5,0)))</f>
        <v/>
      </c>
      <c r="M12" s="3"/>
    </row>
    <row r="13" spans="1:13" ht="15">
      <c r="A13" s="3">
        <f>Matchschema!A8</f>
        <v>7</v>
      </c>
      <c r="B13" s="3" t="str">
        <f>Matchschema!B8</f>
        <v>Gruppspel</v>
      </c>
      <c r="C13" s="3" t="str">
        <f>Matchschema!C8</f>
        <v>C</v>
      </c>
      <c r="D13" s="4">
        <f>Matchschema!D8</f>
        <v>46187.125</v>
      </c>
      <c r="E13" s="3" t="str">
        <f>Matchschema!E8</f>
        <v>03:00</v>
      </c>
      <c r="F13" s="3" t="str">
        <f>Matchschema!H8</f>
        <v>Haiti</v>
      </c>
      <c r="G13" s="3" t="str">
        <f>Matchschema!I8</f>
        <v>Scotland</v>
      </c>
      <c r="H13" s="3" t="str">
        <f>Matchschema!J8</f>
        <v>Gillette Stadium, Foxborough</v>
      </c>
      <c r="I13" s="5"/>
      <c r="J13" s="5"/>
      <c r="K13" s="6" t="str">
        <f t="shared" si="0"/>
        <v/>
      </c>
      <c r="L13" s="8" t="str">
        <f>IF(Matchschema!$K8="","",IF(AND(I13=Matchschema!$K8,J13=Matchschema!$L8),Regler!$B$4,IF(K13=Matchschema!$M8,Regler!$B$5,0)))</f>
        <v/>
      </c>
      <c r="M13" s="3"/>
    </row>
    <row r="14" spans="1:13" ht="15">
      <c r="A14" s="3">
        <f>Matchschema!A9</f>
        <v>8</v>
      </c>
      <c r="B14" s="3" t="str">
        <f>Matchschema!B9</f>
        <v>Gruppspel</v>
      </c>
      <c r="C14" s="3" t="str">
        <f>Matchschema!C9</f>
        <v>D</v>
      </c>
      <c r="D14" s="4">
        <f>Matchschema!D9</f>
        <v>46187.25</v>
      </c>
      <c r="E14" s="3" t="str">
        <f>Matchschema!E9</f>
        <v>06:00</v>
      </c>
      <c r="F14" s="3" t="str">
        <f>Matchschema!H9</f>
        <v>Australia</v>
      </c>
      <c r="G14" s="3" t="str">
        <f>Matchschema!I9</f>
        <v>Türkiye</v>
      </c>
      <c r="H14" s="3" t="str">
        <f>Matchschema!J9</f>
        <v>BC Place, Vancouver</v>
      </c>
      <c r="I14" s="5"/>
      <c r="J14" s="5"/>
      <c r="K14" s="6" t="str">
        <f t="shared" si="0"/>
        <v/>
      </c>
      <c r="L14" s="8" t="str">
        <f>IF(Matchschema!$K9="","",IF(AND(I14=Matchschema!$K9,J14=Matchschema!$L9),Regler!$B$4,IF(K14=Matchschema!$M9,Regler!$B$5,0)))</f>
        <v/>
      </c>
      <c r="M14" s="3"/>
    </row>
    <row r="15" spans="1:13" ht="15">
      <c r="A15" s="3">
        <f>Matchschema!A10</f>
        <v>9</v>
      </c>
      <c r="B15" s="3" t="str">
        <f>Matchschema!B10</f>
        <v>Gruppspel</v>
      </c>
      <c r="C15" s="3" t="str">
        <f>Matchschema!C10</f>
        <v>E</v>
      </c>
      <c r="D15" s="4">
        <f>Matchschema!D10</f>
        <v>46187.791666666664</v>
      </c>
      <c r="E15" s="3" t="str">
        <f>Matchschema!E10</f>
        <v>19:00</v>
      </c>
      <c r="F15" s="3" t="str">
        <f>Matchschema!H10</f>
        <v>Germany</v>
      </c>
      <c r="G15" s="3" t="str">
        <f>Matchschema!I10</f>
        <v>Curaçao</v>
      </c>
      <c r="H15" s="3" t="str">
        <f>Matchschema!J10</f>
        <v>NRG Stadium, Houston</v>
      </c>
      <c r="I15" s="5"/>
      <c r="J15" s="5"/>
      <c r="K15" s="6" t="str">
        <f t="shared" si="0"/>
        <v/>
      </c>
      <c r="L15" s="8" t="str">
        <f>IF(Matchschema!$K10="","",IF(AND(I15=Matchschema!$K10,J15=Matchschema!$L10),Regler!$B$4,IF(K15=Matchschema!$M10,Regler!$B$5,0)))</f>
        <v/>
      </c>
      <c r="M15" s="3"/>
    </row>
    <row r="16" spans="1:13" ht="15">
      <c r="A16" s="3">
        <f>Matchschema!A11</f>
        <v>10</v>
      </c>
      <c r="B16" s="3" t="str">
        <f>Matchschema!B11</f>
        <v>Gruppspel</v>
      </c>
      <c r="C16" s="3" t="str">
        <f>Matchschema!C11</f>
        <v>F</v>
      </c>
      <c r="D16" s="4">
        <f>Matchschema!D11</f>
        <v>46187.916666666664</v>
      </c>
      <c r="E16" s="3" t="str">
        <f>Matchschema!E11</f>
        <v>22:00</v>
      </c>
      <c r="F16" s="3" t="str">
        <f>Matchschema!H11</f>
        <v>Netherlands</v>
      </c>
      <c r="G16" s="3" t="str">
        <f>Matchschema!I11</f>
        <v>Japan</v>
      </c>
      <c r="H16" s="3" t="str">
        <f>Matchschema!J11</f>
        <v>AT&amp;T Stadium, Arlington</v>
      </c>
      <c r="I16" s="5"/>
      <c r="J16" s="5"/>
      <c r="K16" s="6" t="str">
        <f t="shared" si="0"/>
        <v/>
      </c>
      <c r="L16" s="8" t="str">
        <f>IF(Matchschema!$K11="","",IF(AND(I16=Matchschema!$K11,J16=Matchschema!$L11),Regler!$B$4,IF(K16=Matchschema!$M11,Regler!$B$5,0)))</f>
        <v/>
      </c>
      <c r="M16" s="3"/>
    </row>
    <row r="17" spans="1:13" ht="15">
      <c r="A17" s="3">
        <f>Matchschema!A12</f>
        <v>11</v>
      </c>
      <c r="B17" s="3" t="str">
        <f>Matchschema!B12</f>
        <v>Gruppspel</v>
      </c>
      <c r="C17" s="3" t="str">
        <f>Matchschema!C12</f>
        <v>E</v>
      </c>
      <c r="D17" s="4">
        <f>Matchschema!D12</f>
        <v>46188.041666666664</v>
      </c>
      <c r="E17" s="3" t="str">
        <f>Matchschema!E12</f>
        <v>01:00</v>
      </c>
      <c r="F17" s="3" t="str">
        <f>Matchschema!H12</f>
        <v>Ivory Coast</v>
      </c>
      <c r="G17" s="3" t="str">
        <f>Matchschema!I12</f>
        <v>Ecuador</v>
      </c>
      <c r="H17" s="3" t="str">
        <f>Matchschema!J12</f>
        <v>Lincoln Financial Field, Philadelphia</v>
      </c>
      <c r="I17" s="5"/>
      <c r="J17" s="5"/>
      <c r="K17" s="6" t="str">
        <f t="shared" si="0"/>
        <v/>
      </c>
      <c r="L17" s="8" t="str">
        <f>IF(Matchschema!$K12="","",IF(AND(I17=Matchschema!$K12,J17=Matchschema!$L12),Regler!$B$4,IF(K17=Matchschema!$M12,Regler!$B$5,0)))</f>
        <v/>
      </c>
      <c r="M17" s="3"/>
    </row>
    <row r="18" spans="1:13" ht="15">
      <c r="A18" s="3">
        <f>Matchschema!A13</f>
        <v>12</v>
      </c>
      <c r="B18" s="3" t="str">
        <f>Matchschema!B13</f>
        <v>Gruppspel</v>
      </c>
      <c r="C18" s="3" t="str">
        <f>Matchschema!C13</f>
        <v>F</v>
      </c>
      <c r="D18" s="4">
        <f>Matchschema!D13</f>
        <v>46188.166666666664</v>
      </c>
      <c r="E18" s="3" t="str">
        <f>Matchschema!E13</f>
        <v>04:00</v>
      </c>
      <c r="F18" s="3" t="str">
        <f>Matchschema!H13</f>
        <v>Sweden</v>
      </c>
      <c r="G18" s="3" t="str">
        <f>Matchschema!I13</f>
        <v>Tunisia</v>
      </c>
      <c r="H18" s="3" t="str">
        <f>Matchschema!J13</f>
        <v>Estadio BBVA, Monterrey</v>
      </c>
      <c r="I18" s="5"/>
      <c r="J18" s="5"/>
      <c r="K18" s="6" t="str">
        <f t="shared" si="0"/>
        <v/>
      </c>
      <c r="L18" s="8" t="str">
        <f>IF(Matchschema!$K13="","",IF(AND(I18=Matchschema!$K13,J18=Matchschema!$L13),Regler!$B$4,IF(K18=Matchschema!$M13,Regler!$B$5,0)))</f>
        <v/>
      </c>
      <c r="M18" s="3"/>
    </row>
    <row r="19" spans="1:13" ht="15">
      <c r="A19" s="3">
        <f>Matchschema!A14</f>
        <v>13</v>
      </c>
      <c r="B19" s="3" t="str">
        <f>Matchschema!B14</f>
        <v>Gruppspel</v>
      </c>
      <c r="C19" s="3" t="str">
        <f>Matchschema!C14</f>
        <v>H</v>
      </c>
      <c r="D19" s="4">
        <f>Matchschema!D14</f>
        <v>46188.75</v>
      </c>
      <c r="E19" s="3" t="str">
        <f>Matchschema!E14</f>
        <v>18:00</v>
      </c>
      <c r="F19" s="3" t="str">
        <f>Matchschema!H14</f>
        <v>Spain</v>
      </c>
      <c r="G19" s="3" t="str">
        <f>Matchschema!I14</f>
        <v>Cape Verde</v>
      </c>
      <c r="H19" s="3" t="str">
        <f>Matchschema!J14</f>
        <v>Mercedes-Benz Stadium, Atlanta</v>
      </c>
      <c r="I19" s="5"/>
      <c r="J19" s="5"/>
      <c r="K19" s="6" t="str">
        <f t="shared" si="0"/>
        <v/>
      </c>
      <c r="L19" s="8" t="str">
        <f>IF(Matchschema!$K14="","",IF(AND(I19=Matchschema!$K14,J19=Matchschema!$L14),Regler!$B$4,IF(K19=Matchschema!$M14,Regler!$B$5,0)))</f>
        <v/>
      </c>
      <c r="M19" s="3"/>
    </row>
    <row r="20" spans="1:13" ht="15">
      <c r="A20" s="3">
        <f>Matchschema!A15</f>
        <v>14</v>
      </c>
      <c r="B20" s="3" t="str">
        <f>Matchschema!B15</f>
        <v>Gruppspel</v>
      </c>
      <c r="C20" s="3" t="str">
        <f>Matchschema!C15</f>
        <v>G</v>
      </c>
      <c r="D20" s="4">
        <f>Matchschema!D15</f>
        <v>46188.875</v>
      </c>
      <c r="E20" s="3" t="str">
        <f>Matchschema!E15</f>
        <v>21:00</v>
      </c>
      <c r="F20" s="3" t="str">
        <f>Matchschema!H15</f>
        <v>Belgium</v>
      </c>
      <c r="G20" s="3" t="str">
        <f>Matchschema!I15</f>
        <v>Egypt</v>
      </c>
      <c r="H20" s="3" t="str">
        <f>Matchschema!J15</f>
        <v>Lumen Field, Seattle</v>
      </c>
      <c r="I20" s="5"/>
      <c r="J20" s="5"/>
      <c r="K20" s="6" t="str">
        <f t="shared" si="0"/>
        <v/>
      </c>
      <c r="L20" s="8" t="str">
        <f>IF(Matchschema!$K15="","",IF(AND(I20=Matchschema!$K15,J20=Matchschema!$L15),Regler!$B$4,IF(K20=Matchschema!$M15,Regler!$B$5,0)))</f>
        <v/>
      </c>
      <c r="M20" s="3"/>
    </row>
    <row r="21" spans="1:13" ht="15">
      <c r="A21" s="3">
        <f>Matchschema!A16</f>
        <v>15</v>
      </c>
      <c r="B21" s="3" t="str">
        <f>Matchschema!B16</f>
        <v>Gruppspel</v>
      </c>
      <c r="C21" s="3" t="str">
        <f>Matchschema!C16</f>
        <v>H</v>
      </c>
      <c r="D21" s="4">
        <f>Matchschema!D16</f>
        <v>46189</v>
      </c>
      <c r="E21" s="3" t="str">
        <f>Matchschema!E16</f>
        <v>00:00</v>
      </c>
      <c r="F21" s="3" t="str">
        <f>Matchschema!H16</f>
        <v>Saudi Arabia</v>
      </c>
      <c r="G21" s="3" t="str">
        <f>Matchschema!I16</f>
        <v>Uruguay</v>
      </c>
      <c r="H21" s="3" t="str">
        <f>Matchschema!J16</f>
        <v>Hard Rock Stadium, Miami Gardens</v>
      </c>
      <c r="I21" s="5"/>
      <c r="J21" s="5"/>
      <c r="K21" s="6" t="str">
        <f t="shared" si="0"/>
        <v/>
      </c>
      <c r="L21" s="8" t="str">
        <f>IF(Matchschema!$K16="","",IF(AND(I21=Matchschema!$K16,J21=Matchschema!$L16),Regler!$B$4,IF(K21=Matchschema!$M16,Regler!$B$5,0)))</f>
        <v/>
      </c>
      <c r="M21" s="3"/>
    </row>
    <row r="22" spans="1:13" ht="15">
      <c r="A22" s="3">
        <f>Matchschema!A17</f>
        <v>16</v>
      </c>
      <c r="B22" s="3" t="str">
        <f>Matchschema!B17</f>
        <v>Gruppspel</v>
      </c>
      <c r="C22" s="3" t="str">
        <f>Matchschema!C17</f>
        <v>G</v>
      </c>
      <c r="D22" s="4">
        <f>Matchschema!D17</f>
        <v>46189.125</v>
      </c>
      <c r="E22" s="3" t="str">
        <f>Matchschema!E17</f>
        <v>03:00</v>
      </c>
      <c r="F22" s="3" t="str">
        <f>Matchschema!H17</f>
        <v>Iran</v>
      </c>
      <c r="G22" s="3" t="str">
        <f>Matchschema!I17</f>
        <v>New Zealand</v>
      </c>
      <c r="H22" s="3" t="str">
        <f>Matchschema!J17</f>
        <v>SoFi Stadium, Inglewood</v>
      </c>
      <c r="I22" s="5"/>
      <c r="J22" s="5"/>
      <c r="K22" s="6" t="str">
        <f t="shared" si="0"/>
        <v/>
      </c>
      <c r="L22" s="8" t="str">
        <f>IF(Matchschema!$K17="","",IF(AND(I22=Matchschema!$K17,J22=Matchschema!$L17),Regler!$B$4,IF(K22=Matchschema!$M17,Regler!$B$5,0)))</f>
        <v/>
      </c>
      <c r="M22" s="3"/>
    </row>
    <row r="23" spans="1:13" ht="15">
      <c r="A23" s="3">
        <f>Matchschema!A18</f>
        <v>17</v>
      </c>
      <c r="B23" s="3" t="str">
        <f>Matchschema!B18</f>
        <v>Gruppspel</v>
      </c>
      <c r="C23" s="3" t="str">
        <f>Matchschema!C18</f>
        <v>I</v>
      </c>
      <c r="D23" s="4">
        <f>Matchschema!D18</f>
        <v>46189.875</v>
      </c>
      <c r="E23" s="3" t="str">
        <f>Matchschema!E18</f>
        <v>21:00</v>
      </c>
      <c r="F23" s="3" t="str">
        <f>Matchschema!H18</f>
        <v>France</v>
      </c>
      <c r="G23" s="3" t="str">
        <f>Matchschema!I18</f>
        <v>Senegal</v>
      </c>
      <c r="H23" s="3" t="str">
        <f>Matchschema!J18</f>
        <v>MetLife Stadium, East Rutherford</v>
      </c>
      <c r="I23" s="5"/>
      <c r="J23" s="5"/>
      <c r="K23" s="6" t="str">
        <f t="shared" si="0"/>
        <v/>
      </c>
      <c r="L23" s="8" t="str">
        <f>IF(Matchschema!$K18="","",IF(AND(I23=Matchschema!$K18,J23=Matchschema!$L18),Regler!$B$4,IF(K23=Matchschema!$M18,Regler!$B$5,0)))</f>
        <v/>
      </c>
      <c r="M23" s="3"/>
    </row>
    <row r="24" spans="1:13" ht="15">
      <c r="A24" s="3">
        <f>Matchschema!A19</f>
        <v>18</v>
      </c>
      <c r="B24" s="3" t="str">
        <f>Matchschema!B19</f>
        <v>Gruppspel</v>
      </c>
      <c r="C24" s="3" t="str">
        <f>Matchschema!C19</f>
        <v>I</v>
      </c>
      <c r="D24" s="4">
        <f>Matchschema!D19</f>
        <v>46190</v>
      </c>
      <c r="E24" s="3" t="str">
        <f>Matchschema!E19</f>
        <v>00:00</v>
      </c>
      <c r="F24" s="3" t="str">
        <f>Matchschema!H19</f>
        <v>Iraq</v>
      </c>
      <c r="G24" s="3" t="str">
        <f>Matchschema!I19</f>
        <v>Norway</v>
      </c>
      <c r="H24" s="3" t="str">
        <f>Matchschema!J19</f>
        <v>Gillette Stadium, Foxborough</v>
      </c>
      <c r="I24" s="5"/>
      <c r="J24" s="5"/>
      <c r="K24" s="6" t="str">
        <f t="shared" si="0"/>
        <v/>
      </c>
      <c r="L24" s="8" t="str">
        <f>IF(Matchschema!$K19="","",IF(AND(I24=Matchschema!$K19,J24=Matchschema!$L19),Regler!$B$4,IF(K24=Matchschema!$M19,Regler!$B$5,0)))</f>
        <v/>
      </c>
      <c r="M24" s="3"/>
    </row>
    <row r="25" spans="1:13" ht="15">
      <c r="A25" s="3">
        <f>Matchschema!A20</f>
        <v>19</v>
      </c>
      <c r="B25" s="3" t="str">
        <f>Matchschema!B20</f>
        <v>Gruppspel</v>
      </c>
      <c r="C25" s="3" t="str">
        <f>Matchschema!C20</f>
        <v>J</v>
      </c>
      <c r="D25" s="4">
        <f>Matchschema!D20</f>
        <v>46190.125</v>
      </c>
      <c r="E25" s="3" t="str">
        <f>Matchschema!E20</f>
        <v>03:00</v>
      </c>
      <c r="F25" s="3" t="str">
        <f>Matchschema!H20</f>
        <v>Argentina</v>
      </c>
      <c r="G25" s="3" t="str">
        <f>Matchschema!I20</f>
        <v>Algeria</v>
      </c>
      <c r="H25" s="3" t="str">
        <f>Matchschema!J20</f>
        <v>Arrowhead Stadium, Kansas City</v>
      </c>
      <c r="I25" s="5"/>
      <c r="J25" s="5"/>
      <c r="K25" s="6" t="str">
        <f t="shared" si="0"/>
        <v/>
      </c>
      <c r="L25" s="8" t="str">
        <f>IF(Matchschema!$K20="","",IF(AND(I25=Matchschema!$K20,J25=Matchschema!$L20),Regler!$B$4,IF(K25=Matchschema!$M20,Regler!$B$5,0)))</f>
        <v/>
      </c>
      <c r="M25" s="3"/>
    </row>
    <row r="26" spans="1:13" ht="15">
      <c r="A26" s="3">
        <f>Matchschema!A21</f>
        <v>20</v>
      </c>
      <c r="B26" s="3" t="str">
        <f>Matchschema!B21</f>
        <v>Gruppspel</v>
      </c>
      <c r="C26" s="3" t="str">
        <f>Matchschema!C21</f>
        <v>J</v>
      </c>
      <c r="D26" s="4">
        <f>Matchschema!D21</f>
        <v>46190.25</v>
      </c>
      <c r="E26" s="3" t="str">
        <f>Matchschema!E21</f>
        <v>06:00</v>
      </c>
      <c r="F26" s="3" t="str">
        <f>Matchschema!H21</f>
        <v>Austria</v>
      </c>
      <c r="G26" s="3" t="str">
        <f>Matchschema!I21</f>
        <v>Jordan</v>
      </c>
      <c r="H26" s="3" t="str">
        <f>Matchschema!J21</f>
        <v>Levi’s Stadium, Santa Clara</v>
      </c>
      <c r="I26" s="5"/>
      <c r="J26" s="5"/>
      <c r="K26" s="6" t="str">
        <f t="shared" si="0"/>
        <v/>
      </c>
      <c r="L26" s="8" t="str">
        <f>IF(Matchschema!$K21="","",IF(AND(I26=Matchschema!$K21,J26=Matchschema!$L21),Regler!$B$4,IF(K26=Matchschema!$M21,Regler!$B$5,0)))</f>
        <v/>
      </c>
      <c r="M26" s="3"/>
    </row>
    <row r="27" spans="1:13" ht="15">
      <c r="A27" s="3">
        <f>Matchschema!A22</f>
        <v>21</v>
      </c>
      <c r="B27" s="3" t="str">
        <f>Matchschema!B22</f>
        <v>Gruppspel</v>
      </c>
      <c r="C27" s="3" t="str">
        <f>Matchschema!C22</f>
        <v>K</v>
      </c>
      <c r="D27" s="4">
        <f>Matchschema!D22</f>
        <v>46190.791666666664</v>
      </c>
      <c r="E27" s="3" t="str">
        <f>Matchschema!E22</f>
        <v>19:00</v>
      </c>
      <c r="F27" s="3" t="str">
        <f>Matchschema!H22</f>
        <v>Portugal</v>
      </c>
      <c r="G27" s="3" t="str">
        <f>Matchschema!I22</f>
        <v>DR Congo</v>
      </c>
      <c r="H27" s="3" t="str">
        <f>Matchschema!J22</f>
        <v>NRG Stadium, Houston</v>
      </c>
      <c r="I27" s="5"/>
      <c r="J27" s="5"/>
      <c r="K27" s="6" t="str">
        <f t="shared" si="0"/>
        <v/>
      </c>
      <c r="L27" s="8" t="str">
        <f>IF(Matchschema!$K22="","",IF(AND(I27=Matchschema!$K22,J27=Matchschema!$L22),Regler!$B$4,IF(K27=Matchschema!$M22,Regler!$B$5,0)))</f>
        <v/>
      </c>
      <c r="M27" s="3"/>
    </row>
    <row r="28" spans="1:13" ht="15">
      <c r="A28" s="3">
        <f>Matchschema!A23</f>
        <v>22</v>
      </c>
      <c r="B28" s="3" t="str">
        <f>Matchschema!B23</f>
        <v>Gruppspel</v>
      </c>
      <c r="C28" s="3" t="str">
        <f>Matchschema!C23</f>
        <v>L</v>
      </c>
      <c r="D28" s="4">
        <f>Matchschema!D23</f>
        <v>46190.916666666664</v>
      </c>
      <c r="E28" s="3" t="str">
        <f>Matchschema!E23</f>
        <v>22:00</v>
      </c>
      <c r="F28" s="3" t="str">
        <f>Matchschema!H23</f>
        <v>England</v>
      </c>
      <c r="G28" s="3" t="str">
        <f>Matchschema!I23</f>
        <v>Croatia</v>
      </c>
      <c r="H28" s="3" t="str">
        <f>Matchschema!J23</f>
        <v>AT&amp;T Stadium, Arlington</v>
      </c>
      <c r="I28" s="5"/>
      <c r="J28" s="5"/>
      <c r="K28" s="6" t="str">
        <f t="shared" si="0"/>
        <v/>
      </c>
      <c r="L28" s="8" t="str">
        <f>IF(Matchschema!$K23="","",IF(AND(I28=Matchschema!$K23,J28=Matchschema!$L23),Regler!$B$4,IF(K28=Matchschema!$M23,Regler!$B$5,0)))</f>
        <v/>
      </c>
      <c r="M28" s="3"/>
    </row>
    <row r="29" spans="1:13" ht="15">
      <c r="A29" s="3">
        <f>Matchschema!A24</f>
        <v>23</v>
      </c>
      <c r="B29" s="3" t="str">
        <f>Matchschema!B24</f>
        <v>Gruppspel</v>
      </c>
      <c r="C29" s="3" t="str">
        <f>Matchschema!C24</f>
        <v>L</v>
      </c>
      <c r="D29" s="4">
        <f>Matchschema!D24</f>
        <v>46191.041666666664</v>
      </c>
      <c r="E29" s="3" t="str">
        <f>Matchschema!E24</f>
        <v>01:00</v>
      </c>
      <c r="F29" s="3" t="str">
        <f>Matchschema!H24</f>
        <v>Ghana</v>
      </c>
      <c r="G29" s="3" t="str">
        <f>Matchschema!I24</f>
        <v>Panama</v>
      </c>
      <c r="H29" s="3" t="str">
        <f>Matchschema!J24</f>
        <v>BMO Field, Toronto</v>
      </c>
      <c r="I29" s="5"/>
      <c r="J29" s="5"/>
      <c r="K29" s="6" t="str">
        <f t="shared" si="0"/>
        <v/>
      </c>
      <c r="L29" s="8" t="str">
        <f>IF(Matchschema!$K24="","",IF(AND(I29=Matchschema!$K24,J29=Matchschema!$L24),Regler!$B$4,IF(K29=Matchschema!$M24,Regler!$B$5,0)))</f>
        <v/>
      </c>
      <c r="M29" s="3"/>
    </row>
    <row r="30" spans="1:13" ht="15">
      <c r="A30" s="3">
        <f>Matchschema!A25</f>
        <v>24</v>
      </c>
      <c r="B30" s="3" t="str">
        <f>Matchschema!B25</f>
        <v>Gruppspel</v>
      </c>
      <c r="C30" s="3" t="str">
        <f>Matchschema!C25</f>
        <v>K</v>
      </c>
      <c r="D30" s="4">
        <f>Matchschema!D25</f>
        <v>46191.166666666664</v>
      </c>
      <c r="E30" s="3" t="str">
        <f>Matchschema!E25</f>
        <v>04:00</v>
      </c>
      <c r="F30" s="3" t="str">
        <f>Matchschema!H25</f>
        <v>Uzbekistan</v>
      </c>
      <c r="G30" s="3" t="str">
        <f>Matchschema!I25</f>
        <v>Colombia</v>
      </c>
      <c r="H30" s="3" t="str">
        <f>Matchschema!J25</f>
        <v>Estadio Azteca, Mexico City</v>
      </c>
      <c r="I30" s="5"/>
      <c r="J30" s="5"/>
      <c r="K30" s="6" t="str">
        <f t="shared" si="0"/>
        <v/>
      </c>
      <c r="L30" s="8" t="str">
        <f>IF(Matchschema!$K25="","",IF(AND(I30=Matchschema!$K25,J30=Matchschema!$L25),Regler!$B$4,IF(K30=Matchschema!$M25,Regler!$B$5,0)))</f>
        <v/>
      </c>
      <c r="M30" s="3"/>
    </row>
    <row r="31" spans="1:13" ht="15">
      <c r="A31" s="3">
        <f>Matchschema!A26</f>
        <v>25</v>
      </c>
      <c r="B31" s="3" t="str">
        <f>Matchschema!B26</f>
        <v>Gruppspel</v>
      </c>
      <c r="C31" s="3" t="str">
        <f>Matchschema!C26</f>
        <v>A</v>
      </c>
      <c r="D31" s="4">
        <f>Matchschema!D26</f>
        <v>46191.75</v>
      </c>
      <c r="E31" s="3" t="str">
        <f>Matchschema!E26</f>
        <v>18:00</v>
      </c>
      <c r="F31" s="3" t="str">
        <f>Matchschema!H26</f>
        <v>Czechia</v>
      </c>
      <c r="G31" s="3" t="str">
        <f>Matchschema!I26</f>
        <v>South Africa</v>
      </c>
      <c r="H31" s="3" t="str">
        <f>Matchschema!J26</f>
        <v>Mercedes-Benz Stadium, Atlanta</v>
      </c>
      <c r="I31" s="5"/>
      <c r="J31" s="5"/>
      <c r="K31" s="6" t="str">
        <f t="shared" si="0"/>
        <v/>
      </c>
      <c r="L31" s="8" t="str">
        <f>IF(Matchschema!$K26="","",IF(AND(I31=Matchschema!$K26,J31=Matchschema!$L26),Regler!$B$4,IF(K31=Matchschema!$M26,Regler!$B$5,0)))</f>
        <v/>
      </c>
      <c r="M31" s="3"/>
    </row>
    <row r="32" spans="1:13" ht="15">
      <c r="A32" s="3">
        <f>Matchschema!A27</f>
        <v>26</v>
      </c>
      <c r="B32" s="3" t="str">
        <f>Matchschema!B27</f>
        <v>Gruppspel</v>
      </c>
      <c r="C32" s="3" t="str">
        <f>Matchschema!C27</f>
        <v>B</v>
      </c>
      <c r="D32" s="4">
        <f>Matchschema!D27</f>
        <v>46191.875</v>
      </c>
      <c r="E32" s="3" t="str">
        <f>Matchschema!E27</f>
        <v>21:00</v>
      </c>
      <c r="F32" s="3" t="str">
        <f>Matchschema!H27</f>
        <v>Switzerland</v>
      </c>
      <c r="G32" s="3" t="str">
        <f>Matchschema!I27</f>
        <v>Bosnia &amp; Herzegovina</v>
      </c>
      <c r="H32" s="3" t="str">
        <f>Matchschema!J27</f>
        <v>SoFi Stadium, Inglewood</v>
      </c>
      <c r="I32" s="5"/>
      <c r="J32" s="5"/>
      <c r="K32" s="6" t="str">
        <f t="shared" si="0"/>
        <v/>
      </c>
      <c r="L32" s="8" t="str">
        <f>IF(Matchschema!$K27="","",IF(AND(I32=Matchschema!$K27,J32=Matchschema!$L27),Regler!$B$4,IF(K32=Matchschema!$M27,Regler!$B$5,0)))</f>
        <v/>
      </c>
      <c r="M32" s="3"/>
    </row>
    <row r="33" spans="1:13" ht="15">
      <c r="A33" s="3">
        <f>Matchschema!A28</f>
        <v>27</v>
      </c>
      <c r="B33" s="3" t="str">
        <f>Matchschema!B28</f>
        <v>Gruppspel</v>
      </c>
      <c r="C33" s="3" t="str">
        <f>Matchschema!C28</f>
        <v>B</v>
      </c>
      <c r="D33" s="4">
        <f>Matchschema!D28</f>
        <v>46192</v>
      </c>
      <c r="E33" s="3" t="str">
        <f>Matchschema!E28</f>
        <v>00:00</v>
      </c>
      <c r="F33" s="3" t="str">
        <f>Matchschema!H28</f>
        <v>Canada</v>
      </c>
      <c r="G33" s="3" t="str">
        <f>Matchschema!I28</f>
        <v>Qatar</v>
      </c>
      <c r="H33" s="3" t="str">
        <f>Matchschema!J28</f>
        <v>BC Place, Vancouver</v>
      </c>
      <c r="I33" s="5"/>
      <c r="J33" s="5"/>
      <c r="K33" s="6" t="str">
        <f t="shared" si="0"/>
        <v/>
      </c>
      <c r="L33" s="8" t="str">
        <f>IF(Matchschema!$K28="","",IF(AND(I33=Matchschema!$K28,J33=Matchschema!$L28),Regler!$B$4,IF(K33=Matchschema!$M28,Regler!$B$5,0)))</f>
        <v/>
      </c>
      <c r="M33" s="3"/>
    </row>
    <row r="34" spans="1:13" ht="15">
      <c r="A34" s="3">
        <f>Matchschema!A29</f>
        <v>28</v>
      </c>
      <c r="B34" s="3" t="str">
        <f>Matchschema!B29</f>
        <v>Gruppspel</v>
      </c>
      <c r="C34" s="3" t="str">
        <f>Matchschema!C29</f>
        <v>A</v>
      </c>
      <c r="D34" s="4">
        <f>Matchschema!D29</f>
        <v>46192.125</v>
      </c>
      <c r="E34" s="3" t="str">
        <f>Matchschema!E29</f>
        <v>03:00</v>
      </c>
      <c r="F34" s="3" t="str">
        <f>Matchschema!H29</f>
        <v>Mexico</v>
      </c>
      <c r="G34" s="3" t="str">
        <f>Matchschema!I29</f>
        <v>South Korea</v>
      </c>
      <c r="H34" s="3" t="str">
        <f>Matchschema!J29</f>
        <v>Estadio Akron, Zapopan</v>
      </c>
      <c r="I34" s="5"/>
      <c r="J34" s="5"/>
      <c r="K34" s="6" t="str">
        <f t="shared" si="0"/>
        <v/>
      </c>
      <c r="L34" s="8" t="str">
        <f>IF(Matchschema!$K29="","",IF(AND(I34=Matchschema!$K29,J34=Matchschema!$L29),Regler!$B$4,IF(K34=Matchschema!$M29,Regler!$B$5,0)))</f>
        <v/>
      </c>
      <c r="M34" s="3"/>
    </row>
    <row r="35" spans="1:13" ht="15">
      <c r="A35" s="3">
        <f>Matchschema!A30</f>
        <v>29</v>
      </c>
      <c r="B35" s="3" t="str">
        <f>Matchschema!B30</f>
        <v>Gruppspel</v>
      </c>
      <c r="C35" s="3" t="str">
        <f>Matchschema!C30</f>
        <v>D</v>
      </c>
      <c r="D35" s="4">
        <f>Matchschema!D30</f>
        <v>46192.875</v>
      </c>
      <c r="E35" s="3" t="str">
        <f>Matchschema!E30</f>
        <v>21:00</v>
      </c>
      <c r="F35" s="3" t="str">
        <f>Matchschema!H30</f>
        <v>USA</v>
      </c>
      <c r="G35" s="3" t="str">
        <f>Matchschema!I30</f>
        <v>Australia</v>
      </c>
      <c r="H35" s="3" t="str">
        <f>Matchschema!J30</f>
        <v>Lumen Field, Seattle</v>
      </c>
      <c r="I35" s="5"/>
      <c r="J35" s="5"/>
      <c r="K35" s="6" t="str">
        <f t="shared" si="0"/>
        <v/>
      </c>
      <c r="L35" s="8" t="str">
        <f>IF(Matchschema!$K30="","",IF(AND(I35=Matchschema!$K30,J35=Matchschema!$L30),Regler!$B$4,IF(K35=Matchschema!$M30,Regler!$B$5,0)))</f>
        <v/>
      </c>
      <c r="M35" s="3"/>
    </row>
    <row r="36" spans="1:13" ht="15">
      <c r="A36" s="3">
        <f>Matchschema!A31</f>
        <v>30</v>
      </c>
      <c r="B36" s="3" t="str">
        <f>Matchschema!B31</f>
        <v>Gruppspel</v>
      </c>
      <c r="C36" s="3" t="str">
        <f>Matchschema!C31</f>
        <v>C</v>
      </c>
      <c r="D36" s="4">
        <f>Matchschema!D31</f>
        <v>46193</v>
      </c>
      <c r="E36" s="3" t="str">
        <f>Matchschema!E31</f>
        <v>00:00</v>
      </c>
      <c r="F36" s="3" t="str">
        <f>Matchschema!H31</f>
        <v>Scotland</v>
      </c>
      <c r="G36" s="3" t="str">
        <f>Matchschema!I31</f>
        <v>Morocco</v>
      </c>
      <c r="H36" s="3" t="str">
        <f>Matchschema!J31</f>
        <v>Gillette Stadium, Foxborough</v>
      </c>
      <c r="I36" s="5"/>
      <c r="J36" s="5"/>
      <c r="K36" s="6" t="str">
        <f t="shared" si="0"/>
        <v/>
      </c>
      <c r="L36" s="8" t="str">
        <f>IF(Matchschema!$K31="","",IF(AND(I36=Matchschema!$K31,J36=Matchschema!$L31),Regler!$B$4,IF(K36=Matchschema!$M31,Regler!$B$5,0)))</f>
        <v/>
      </c>
      <c r="M36" s="3"/>
    </row>
    <row r="37" spans="1:13" ht="15">
      <c r="A37" s="3">
        <f>Matchschema!A32</f>
        <v>31</v>
      </c>
      <c r="B37" s="3" t="str">
        <f>Matchschema!B32</f>
        <v>Gruppspel</v>
      </c>
      <c r="C37" s="3" t="str">
        <f>Matchschema!C32</f>
        <v>C</v>
      </c>
      <c r="D37" s="4">
        <f>Matchschema!D32</f>
        <v>46193.104166666664</v>
      </c>
      <c r="E37" s="3" t="str">
        <f>Matchschema!E32</f>
        <v>02:30</v>
      </c>
      <c r="F37" s="3" t="str">
        <f>Matchschema!H32</f>
        <v>Brazil</v>
      </c>
      <c r="G37" s="3" t="str">
        <f>Matchschema!I32</f>
        <v>Haiti</v>
      </c>
      <c r="H37" s="3" t="str">
        <f>Matchschema!J32</f>
        <v>Lincoln Financial Field, Philadelphia</v>
      </c>
      <c r="I37" s="5"/>
      <c r="J37" s="5"/>
      <c r="K37" s="6" t="str">
        <f t="shared" si="0"/>
        <v/>
      </c>
      <c r="L37" s="8" t="str">
        <f>IF(Matchschema!$K32="","",IF(AND(I37=Matchschema!$K32,J37=Matchschema!$L32),Regler!$B$4,IF(K37=Matchschema!$M32,Regler!$B$5,0)))</f>
        <v/>
      </c>
      <c r="M37" s="3"/>
    </row>
    <row r="38" spans="1:13" ht="15">
      <c r="A38" s="3">
        <f>Matchschema!A33</f>
        <v>32</v>
      </c>
      <c r="B38" s="3" t="str">
        <f>Matchschema!B33</f>
        <v>Gruppspel</v>
      </c>
      <c r="C38" s="3" t="str">
        <f>Matchschema!C33</f>
        <v>D</v>
      </c>
      <c r="D38" s="4">
        <f>Matchschema!D33</f>
        <v>46193.208333333336</v>
      </c>
      <c r="E38" s="3" t="str">
        <f>Matchschema!E33</f>
        <v>05:00</v>
      </c>
      <c r="F38" s="3" t="str">
        <f>Matchschema!H33</f>
        <v>Türkiye</v>
      </c>
      <c r="G38" s="3" t="str">
        <f>Matchschema!I33</f>
        <v>Paraguay</v>
      </c>
      <c r="H38" s="3" t="str">
        <f>Matchschema!J33</f>
        <v>Levi’s Stadium, Santa Clara</v>
      </c>
      <c r="I38" s="5"/>
      <c r="J38" s="5"/>
      <c r="K38" s="6" t="str">
        <f t="shared" si="0"/>
        <v/>
      </c>
      <c r="L38" s="8" t="str">
        <f>IF(Matchschema!$K33="","",IF(AND(I38=Matchschema!$K33,J38=Matchschema!$L33),Regler!$B$4,IF(K38=Matchschema!$M33,Regler!$B$5,0)))</f>
        <v/>
      </c>
      <c r="M38" s="3"/>
    </row>
    <row r="39" spans="1:13" ht="15">
      <c r="A39" s="3">
        <f>Matchschema!A34</f>
        <v>33</v>
      </c>
      <c r="B39" s="3" t="str">
        <f>Matchschema!B34</f>
        <v>Gruppspel</v>
      </c>
      <c r="C39" s="3" t="str">
        <f>Matchschema!C34</f>
        <v>F</v>
      </c>
      <c r="D39" s="4">
        <f>Matchschema!D34</f>
        <v>46193.791666666664</v>
      </c>
      <c r="E39" s="3" t="str">
        <f>Matchschema!E34</f>
        <v>19:00</v>
      </c>
      <c r="F39" s="3" t="str">
        <f>Matchschema!H34</f>
        <v>Netherlands</v>
      </c>
      <c r="G39" s="3" t="str">
        <f>Matchschema!I34</f>
        <v>Sweden</v>
      </c>
      <c r="H39" s="3" t="str">
        <f>Matchschema!J34</f>
        <v>NRG Stadium, Houston</v>
      </c>
      <c r="I39" s="5"/>
      <c r="J39" s="5"/>
      <c r="K39" s="6" t="str">
        <f t="shared" ref="K39:K70" si="1">IF(OR(I39="",J39=""),"",IF(I39&gt;J39,"1",IF(I39=J39,"X","2")))</f>
        <v/>
      </c>
      <c r="L39" s="8" t="str">
        <f>IF(Matchschema!$K34="","",IF(AND(I39=Matchschema!$K34,J39=Matchschema!$L34),Regler!$B$4,IF(K39=Matchschema!$M34,Regler!$B$5,0)))</f>
        <v/>
      </c>
      <c r="M39" s="3"/>
    </row>
    <row r="40" spans="1:13" ht="15">
      <c r="A40" s="3">
        <f>Matchschema!A35</f>
        <v>34</v>
      </c>
      <c r="B40" s="3" t="str">
        <f>Matchschema!B35</f>
        <v>Gruppspel</v>
      </c>
      <c r="C40" s="3" t="str">
        <f>Matchschema!C35</f>
        <v>E</v>
      </c>
      <c r="D40" s="4">
        <f>Matchschema!D35</f>
        <v>46193.916666666664</v>
      </c>
      <c r="E40" s="3" t="str">
        <f>Matchschema!E35</f>
        <v>22:00</v>
      </c>
      <c r="F40" s="3" t="str">
        <f>Matchschema!H35</f>
        <v>Germany</v>
      </c>
      <c r="G40" s="3" t="str">
        <f>Matchschema!I35</f>
        <v>Ivory Coast</v>
      </c>
      <c r="H40" s="3" t="str">
        <f>Matchschema!J35</f>
        <v>BMO Field, Toronto</v>
      </c>
      <c r="I40" s="5"/>
      <c r="J40" s="5"/>
      <c r="K40" s="6" t="str">
        <f t="shared" si="1"/>
        <v/>
      </c>
      <c r="L40" s="8" t="str">
        <f>IF(Matchschema!$K35="","",IF(AND(I40=Matchschema!$K35,J40=Matchschema!$L35),Regler!$B$4,IF(K40=Matchschema!$M35,Regler!$B$5,0)))</f>
        <v/>
      </c>
      <c r="M40" s="3"/>
    </row>
    <row r="41" spans="1:13" ht="15">
      <c r="A41" s="3">
        <f>Matchschema!A36</f>
        <v>35</v>
      </c>
      <c r="B41" s="3" t="str">
        <f>Matchschema!B36</f>
        <v>Gruppspel</v>
      </c>
      <c r="C41" s="3" t="str">
        <f>Matchschema!C36</f>
        <v>E</v>
      </c>
      <c r="D41" s="4">
        <f>Matchschema!D36</f>
        <v>46194.083333333336</v>
      </c>
      <c r="E41" s="3" t="str">
        <f>Matchschema!E36</f>
        <v>02:00</v>
      </c>
      <c r="F41" s="3" t="str">
        <f>Matchschema!H36</f>
        <v>Ecuador</v>
      </c>
      <c r="G41" s="3" t="str">
        <f>Matchschema!I36</f>
        <v>Curaçao</v>
      </c>
      <c r="H41" s="3" t="str">
        <f>Matchschema!J36</f>
        <v>Arrowhead Stadium, Kansas City</v>
      </c>
      <c r="I41" s="5"/>
      <c r="J41" s="5"/>
      <c r="K41" s="6" t="str">
        <f t="shared" si="1"/>
        <v/>
      </c>
      <c r="L41" s="8" t="str">
        <f>IF(Matchschema!$K36="","",IF(AND(I41=Matchschema!$K36,J41=Matchschema!$L36),Regler!$B$4,IF(K41=Matchschema!$M36,Regler!$B$5,0)))</f>
        <v/>
      </c>
      <c r="M41" s="3"/>
    </row>
    <row r="42" spans="1:13" ht="15">
      <c r="A42" s="3">
        <f>Matchschema!A37</f>
        <v>36</v>
      </c>
      <c r="B42" s="3" t="str">
        <f>Matchschema!B37</f>
        <v>Gruppspel</v>
      </c>
      <c r="C42" s="3" t="str">
        <f>Matchschema!C37</f>
        <v>F</v>
      </c>
      <c r="D42" s="4">
        <f>Matchschema!D37</f>
        <v>46194.25</v>
      </c>
      <c r="E42" s="3" t="str">
        <f>Matchschema!E37</f>
        <v>06:00</v>
      </c>
      <c r="F42" s="3" t="str">
        <f>Matchschema!H37</f>
        <v>Tunisia</v>
      </c>
      <c r="G42" s="3" t="str">
        <f>Matchschema!I37</f>
        <v>Japan</v>
      </c>
      <c r="H42" s="3" t="str">
        <f>Matchschema!J37</f>
        <v>Estadio BBVA, Monterrey</v>
      </c>
      <c r="I42" s="5"/>
      <c r="J42" s="5"/>
      <c r="K42" s="6" t="str">
        <f t="shared" si="1"/>
        <v/>
      </c>
      <c r="L42" s="8" t="str">
        <f>IF(Matchschema!$K37="","",IF(AND(I42=Matchschema!$K37,J42=Matchschema!$L37),Regler!$B$4,IF(K42=Matchschema!$M37,Regler!$B$5,0)))</f>
        <v/>
      </c>
      <c r="M42" s="3"/>
    </row>
    <row r="43" spans="1:13" ht="15">
      <c r="A43" s="3">
        <f>Matchschema!A38</f>
        <v>37</v>
      </c>
      <c r="B43" s="3" t="str">
        <f>Matchschema!B38</f>
        <v>Gruppspel</v>
      </c>
      <c r="C43" s="3" t="str">
        <f>Matchschema!C38</f>
        <v>H</v>
      </c>
      <c r="D43" s="4">
        <f>Matchschema!D38</f>
        <v>46194.75</v>
      </c>
      <c r="E43" s="3" t="str">
        <f>Matchschema!E38</f>
        <v>18:00</v>
      </c>
      <c r="F43" s="3" t="str">
        <f>Matchschema!H38</f>
        <v>Spain</v>
      </c>
      <c r="G43" s="3" t="str">
        <f>Matchschema!I38</f>
        <v>Saudi Arabia</v>
      </c>
      <c r="H43" s="3" t="str">
        <f>Matchschema!J38</f>
        <v>Mercedes-Benz Stadium, Atlanta</v>
      </c>
      <c r="I43" s="5"/>
      <c r="J43" s="5"/>
      <c r="K43" s="6" t="str">
        <f t="shared" si="1"/>
        <v/>
      </c>
      <c r="L43" s="8" t="str">
        <f>IF(Matchschema!$K38="","",IF(AND(I43=Matchschema!$K38,J43=Matchschema!$L38),Regler!$B$4,IF(K43=Matchschema!$M38,Regler!$B$5,0)))</f>
        <v/>
      </c>
      <c r="M43" s="3"/>
    </row>
    <row r="44" spans="1:13" ht="15">
      <c r="A44" s="3">
        <f>Matchschema!A39</f>
        <v>38</v>
      </c>
      <c r="B44" s="3" t="str">
        <f>Matchschema!B39</f>
        <v>Gruppspel</v>
      </c>
      <c r="C44" s="3" t="str">
        <f>Matchschema!C39</f>
        <v>G</v>
      </c>
      <c r="D44" s="4">
        <f>Matchschema!D39</f>
        <v>46194.875</v>
      </c>
      <c r="E44" s="3" t="str">
        <f>Matchschema!E39</f>
        <v>21:00</v>
      </c>
      <c r="F44" s="3" t="str">
        <f>Matchschema!H39</f>
        <v>Belgium</v>
      </c>
      <c r="G44" s="3" t="str">
        <f>Matchschema!I39</f>
        <v>Iran</v>
      </c>
      <c r="H44" s="3" t="str">
        <f>Matchschema!J39</f>
        <v>SoFi Stadium, Inglewood</v>
      </c>
      <c r="I44" s="5"/>
      <c r="J44" s="5"/>
      <c r="K44" s="6" t="str">
        <f t="shared" si="1"/>
        <v/>
      </c>
      <c r="L44" s="8" t="str">
        <f>IF(Matchschema!$K39="","",IF(AND(I44=Matchschema!$K39,J44=Matchschema!$L39),Regler!$B$4,IF(K44=Matchschema!$M39,Regler!$B$5,0)))</f>
        <v/>
      </c>
      <c r="M44" s="3"/>
    </row>
    <row r="45" spans="1:13" ht="15">
      <c r="A45" s="3">
        <f>Matchschema!A40</f>
        <v>39</v>
      </c>
      <c r="B45" s="3" t="str">
        <f>Matchschema!B40</f>
        <v>Gruppspel</v>
      </c>
      <c r="C45" s="3" t="str">
        <f>Matchschema!C40</f>
        <v>H</v>
      </c>
      <c r="D45" s="4">
        <f>Matchschema!D40</f>
        <v>46195</v>
      </c>
      <c r="E45" s="3" t="str">
        <f>Matchschema!E40</f>
        <v>00:00</v>
      </c>
      <c r="F45" s="3" t="str">
        <f>Matchschema!H40</f>
        <v>Uruguay</v>
      </c>
      <c r="G45" s="3" t="str">
        <f>Matchschema!I40</f>
        <v>Cape Verde</v>
      </c>
      <c r="H45" s="3" t="str">
        <f>Matchschema!J40</f>
        <v>Hard Rock Stadium, Miami Gardens</v>
      </c>
      <c r="I45" s="5"/>
      <c r="J45" s="5"/>
      <c r="K45" s="6" t="str">
        <f t="shared" si="1"/>
        <v/>
      </c>
      <c r="L45" s="8" t="str">
        <f>IF(Matchschema!$K40="","",IF(AND(I45=Matchschema!$K40,J45=Matchschema!$L40),Regler!$B$4,IF(K45=Matchschema!$M40,Regler!$B$5,0)))</f>
        <v/>
      </c>
      <c r="M45" s="3"/>
    </row>
    <row r="46" spans="1:13" ht="15">
      <c r="A46" s="3">
        <f>Matchschema!A41</f>
        <v>40</v>
      </c>
      <c r="B46" s="3" t="str">
        <f>Matchschema!B41</f>
        <v>Gruppspel</v>
      </c>
      <c r="C46" s="3" t="str">
        <f>Matchschema!C41</f>
        <v>G</v>
      </c>
      <c r="D46" s="4">
        <f>Matchschema!D41</f>
        <v>46195.125</v>
      </c>
      <c r="E46" s="3" t="str">
        <f>Matchschema!E41</f>
        <v>03:00</v>
      </c>
      <c r="F46" s="3" t="str">
        <f>Matchschema!H41</f>
        <v>New Zealand</v>
      </c>
      <c r="G46" s="3" t="str">
        <f>Matchschema!I41</f>
        <v>Egypt</v>
      </c>
      <c r="H46" s="3" t="str">
        <f>Matchschema!J41</f>
        <v>BC Place, Vancouver</v>
      </c>
      <c r="I46" s="5"/>
      <c r="J46" s="5"/>
      <c r="K46" s="6" t="str">
        <f t="shared" si="1"/>
        <v/>
      </c>
      <c r="L46" s="8" t="str">
        <f>IF(Matchschema!$K41="","",IF(AND(I46=Matchschema!$K41,J46=Matchschema!$L41),Regler!$B$4,IF(K46=Matchschema!$M41,Regler!$B$5,0)))</f>
        <v/>
      </c>
      <c r="M46" s="3"/>
    </row>
    <row r="47" spans="1:13" ht="15">
      <c r="A47" s="3">
        <f>Matchschema!A42</f>
        <v>41</v>
      </c>
      <c r="B47" s="3" t="str">
        <f>Matchschema!B42</f>
        <v>Gruppspel</v>
      </c>
      <c r="C47" s="3" t="str">
        <f>Matchschema!C42</f>
        <v>J</v>
      </c>
      <c r="D47" s="4">
        <f>Matchschema!D42</f>
        <v>46195.791666666664</v>
      </c>
      <c r="E47" s="3" t="str">
        <f>Matchschema!E42</f>
        <v>19:00</v>
      </c>
      <c r="F47" s="3" t="str">
        <f>Matchschema!H42</f>
        <v>Argentina</v>
      </c>
      <c r="G47" s="3" t="str">
        <f>Matchschema!I42</f>
        <v>Austria</v>
      </c>
      <c r="H47" s="3" t="str">
        <f>Matchschema!J42</f>
        <v>AT&amp;T Stadium, Arlington</v>
      </c>
      <c r="I47" s="5"/>
      <c r="J47" s="5"/>
      <c r="K47" s="6" t="str">
        <f t="shared" si="1"/>
        <v/>
      </c>
      <c r="L47" s="8" t="str">
        <f>IF(Matchschema!$K42="","",IF(AND(I47=Matchschema!$K42,J47=Matchschema!$L42),Regler!$B$4,IF(K47=Matchschema!$M42,Regler!$B$5,0)))</f>
        <v/>
      </c>
      <c r="M47" s="3"/>
    </row>
    <row r="48" spans="1:13" ht="15">
      <c r="A48" s="3">
        <f>Matchschema!A43</f>
        <v>42</v>
      </c>
      <c r="B48" s="3" t="str">
        <f>Matchschema!B43</f>
        <v>Gruppspel</v>
      </c>
      <c r="C48" s="3" t="str">
        <f>Matchschema!C43</f>
        <v>I</v>
      </c>
      <c r="D48" s="4">
        <f>Matchschema!D43</f>
        <v>46195.958333333336</v>
      </c>
      <c r="E48" s="3" t="str">
        <f>Matchschema!E43</f>
        <v>23:00</v>
      </c>
      <c r="F48" s="3" t="str">
        <f>Matchschema!H43</f>
        <v>France</v>
      </c>
      <c r="G48" s="3" t="str">
        <f>Matchschema!I43</f>
        <v>Iraq</v>
      </c>
      <c r="H48" s="3" t="str">
        <f>Matchschema!J43</f>
        <v>Lincoln Financial Field, Philadelphia</v>
      </c>
      <c r="I48" s="5"/>
      <c r="J48" s="5"/>
      <c r="K48" s="6" t="str">
        <f t="shared" si="1"/>
        <v/>
      </c>
      <c r="L48" s="8" t="str">
        <f>IF(Matchschema!$K43="","",IF(AND(I48=Matchschema!$K43,J48=Matchschema!$L43),Regler!$B$4,IF(K48=Matchschema!$M43,Regler!$B$5,0)))</f>
        <v/>
      </c>
      <c r="M48" s="3"/>
    </row>
    <row r="49" spans="1:13" ht="15">
      <c r="A49" s="3">
        <f>Matchschema!A44</f>
        <v>43</v>
      </c>
      <c r="B49" s="3" t="str">
        <f>Matchschema!B44</f>
        <v>Gruppspel</v>
      </c>
      <c r="C49" s="3" t="str">
        <f>Matchschema!C44</f>
        <v>I</v>
      </c>
      <c r="D49" s="4">
        <f>Matchschema!D44</f>
        <v>46196.083333333336</v>
      </c>
      <c r="E49" s="3" t="str">
        <f>Matchschema!E44</f>
        <v>02:00</v>
      </c>
      <c r="F49" s="3" t="str">
        <f>Matchschema!H44</f>
        <v>Norway</v>
      </c>
      <c r="G49" s="3" t="str">
        <f>Matchschema!I44</f>
        <v>Senegal</v>
      </c>
      <c r="H49" s="3" t="str">
        <f>Matchschema!J44</f>
        <v>MetLife Stadium, East Rutherford</v>
      </c>
      <c r="I49" s="5"/>
      <c r="J49" s="5"/>
      <c r="K49" s="6" t="str">
        <f t="shared" si="1"/>
        <v/>
      </c>
      <c r="L49" s="8" t="str">
        <f>IF(Matchschema!$K44="","",IF(AND(I49=Matchschema!$K44,J49=Matchschema!$L44),Regler!$B$4,IF(K49=Matchschema!$M44,Regler!$B$5,0)))</f>
        <v/>
      </c>
      <c r="M49" s="3"/>
    </row>
    <row r="50" spans="1:13" ht="15">
      <c r="A50" s="3">
        <f>Matchschema!A45</f>
        <v>44</v>
      </c>
      <c r="B50" s="3" t="str">
        <f>Matchschema!B45</f>
        <v>Gruppspel</v>
      </c>
      <c r="C50" s="3" t="str">
        <f>Matchschema!C45</f>
        <v>J</v>
      </c>
      <c r="D50" s="4">
        <f>Matchschema!D45</f>
        <v>46196.208333333336</v>
      </c>
      <c r="E50" s="3" t="str">
        <f>Matchschema!E45</f>
        <v>05:00</v>
      </c>
      <c r="F50" s="3" t="str">
        <f>Matchschema!H45</f>
        <v>Jordan</v>
      </c>
      <c r="G50" s="3" t="str">
        <f>Matchschema!I45</f>
        <v>Algeria</v>
      </c>
      <c r="H50" s="3" t="str">
        <f>Matchschema!J45</f>
        <v>Levi’s Stadium, Santa Clara</v>
      </c>
      <c r="I50" s="5"/>
      <c r="J50" s="5"/>
      <c r="K50" s="6" t="str">
        <f t="shared" si="1"/>
        <v/>
      </c>
      <c r="L50" s="8" t="str">
        <f>IF(Matchschema!$K45="","",IF(AND(I50=Matchschema!$K45,J50=Matchschema!$L45),Regler!$B$4,IF(K50=Matchschema!$M45,Regler!$B$5,0)))</f>
        <v/>
      </c>
      <c r="M50" s="3"/>
    </row>
    <row r="51" spans="1:13" ht="15">
      <c r="A51" s="3">
        <f>Matchschema!A46</f>
        <v>45</v>
      </c>
      <c r="B51" s="3" t="str">
        <f>Matchschema!B46</f>
        <v>Gruppspel</v>
      </c>
      <c r="C51" s="3" t="str">
        <f>Matchschema!C46</f>
        <v>K</v>
      </c>
      <c r="D51" s="4">
        <f>Matchschema!D46</f>
        <v>46196.791666666664</v>
      </c>
      <c r="E51" s="3" t="str">
        <f>Matchschema!E46</f>
        <v>19:00</v>
      </c>
      <c r="F51" s="3" t="str">
        <f>Matchschema!H46</f>
        <v>Portugal</v>
      </c>
      <c r="G51" s="3" t="str">
        <f>Matchschema!I46</f>
        <v>Uzbekistan</v>
      </c>
      <c r="H51" s="3" t="str">
        <f>Matchschema!J46</f>
        <v>NRG Stadium, Houston</v>
      </c>
      <c r="I51" s="5"/>
      <c r="J51" s="5"/>
      <c r="K51" s="6" t="str">
        <f t="shared" si="1"/>
        <v/>
      </c>
      <c r="L51" s="8" t="str">
        <f>IF(Matchschema!$K46="","",IF(AND(I51=Matchschema!$K46,J51=Matchschema!$L46),Regler!$B$4,IF(K51=Matchschema!$M46,Regler!$B$5,0)))</f>
        <v/>
      </c>
      <c r="M51" s="3"/>
    </row>
    <row r="52" spans="1:13" ht="15">
      <c r="A52" s="3">
        <f>Matchschema!A47</f>
        <v>46</v>
      </c>
      <c r="B52" s="3" t="str">
        <f>Matchschema!B47</f>
        <v>Gruppspel</v>
      </c>
      <c r="C52" s="3" t="str">
        <f>Matchschema!C47</f>
        <v>L</v>
      </c>
      <c r="D52" s="4">
        <f>Matchschema!D47</f>
        <v>46196.916666666664</v>
      </c>
      <c r="E52" s="3" t="str">
        <f>Matchschema!E47</f>
        <v>22:00</v>
      </c>
      <c r="F52" s="3" t="str">
        <f>Matchschema!H47</f>
        <v>England</v>
      </c>
      <c r="G52" s="3" t="str">
        <f>Matchschema!I47</f>
        <v>Ghana</v>
      </c>
      <c r="H52" s="3" t="str">
        <f>Matchschema!J47</f>
        <v>Gillette Stadium, Foxborough</v>
      </c>
      <c r="I52" s="5"/>
      <c r="J52" s="5"/>
      <c r="K52" s="6" t="str">
        <f t="shared" si="1"/>
        <v/>
      </c>
      <c r="L52" s="8" t="str">
        <f>IF(Matchschema!$K47="","",IF(AND(I52=Matchschema!$K47,J52=Matchschema!$L47),Regler!$B$4,IF(K52=Matchschema!$M47,Regler!$B$5,0)))</f>
        <v/>
      </c>
      <c r="M52" s="3"/>
    </row>
    <row r="53" spans="1:13" ht="15">
      <c r="A53" s="3">
        <f>Matchschema!A48</f>
        <v>47</v>
      </c>
      <c r="B53" s="3" t="str">
        <f>Matchschema!B48</f>
        <v>Gruppspel</v>
      </c>
      <c r="C53" s="3" t="str">
        <f>Matchschema!C48</f>
        <v>L</v>
      </c>
      <c r="D53" s="4">
        <f>Matchschema!D48</f>
        <v>46197.041666666664</v>
      </c>
      <c r="E53" s="3" t="str">
        <f>Matchschema!E48</f>
        <v>01:00</v>
      </c>
      <c r="F53" s="3" t="str">
        <f>Matchschema!H48</f>
        <v>Panama</v>
      </c>
      <c r="G53" s="3" t="str">
        <f>Matchschema!I48</f>
        <v>Croatia</v>
      </c>
      <c r="H53" s="3" t="str">
        <f>Matchschema!J48</f>
        <v>BMO Field, Toronto</v>
      </c>
      <c r="I53" s="5"/>
      <c r="J53" s="5"/>
      <c r="K53" s="6" t="str">
        <f t="shared" si="1"/>
        <v/>
      </c>
      <c r="L53" s="8" t="str">
        <f>IF(Matchschema!$K48="","",IF(AND(I53=Matchschema!$K48,J53=Matchschema!$L48),Regler!$B$4,IF(K53=Matchschema!$M48,Regler!$B$5,0)))</f>
        <v/>
      </c>
      <c r="M53" s="3"/>
    </row>
    <row r="54" spans="1:13" ht="15">
      <c r="A54" s="3">
        <f>Matchschema!A49</f>
        <v>48</v>
      </c>
      <c r="B54" s="3" t="str">
        <f>Matchschema!B49</f>
        <v>Gruppspel</v>
      </c>
      <c r="C54" s="3" t="str">
        <f>Matchschema!C49</f>
        <v>K</v>
      </c>
      <c r="D54" s="4">
        <f>Matchschema!D49</f>
        <v>46197.166666666664</v>
      </c>
      <c r="E54" s="3" t="str">
        <f>Matchschema!E49</f>
        <v>04:00</v>
      </c>
      <c r="F54" s="3" t="str">
        <f>Matchschema!H49</f>
        <v>Colombia</v>
      </c>
      <c r="G54" s="3" t="str">
        <f>Matchschema!I49</f>
        <v>DR Congo</v>
      </c>
      <c r="H54" s="3" t="str">
        <f>Matchschema!J49</f>
        <v>Estadio Akron, Zapopan</v>
      </c>
      <c r="I54" s="5"/>
      <c r="J54" s="5"/>
      <c r="K54" s="6" t="str">
        <f t="shared" si="1"/>
        <v/>
      </c>
      <c r="L54" s="8" t="str">
        <f>IF(Matchschema!$K49="","",IF(AND(I54=Matchschema!$K49,J54=Matchschema!$L49),Regler!$B$4,IF(K54=Matchschema!$M49,Regler!$B$5,0)))</f>
        <v/>
      </c>
      <c r="M54" s="3"/>
    </row>
    <row r="55" spans="1:13" ht="15">
      <c r="A55" s="3">
        <f>Matchschema!A50</f>
        <v>49</v>
      </c>
      <c r="B55" s="3" t="str">
        <f>Matchschema!B50</f>
        <v>Gruppspel</v>
      </c>
      <c r="C55" s="3" t="str">
        <f>Matchschema!C50</f>
        <v>B</v>
      </c>
      <c r="D55" s="4">
        <f>Matchschema!D50</f>
        <v>46197.875</v>
      </c>
      <c r="E55" s="3" t="str">
        <f>Matchschema!E50</f>
        <v>21:00</v>
      </c>
      <c r="F55" s="3" t="str">
        <f>Matchschema!H50</f>
        <v>Switzerland</v>
      </c>
      <c r="G55" s="3" t="str">
        <f>Matchschema!I50</f>
        <v>Canada</v>
      </c>
      <c r="H55" s="3" t="str">
        <f>Matchschema!J50</f>
        <v>BC Place, Vancouver</v>
      </c>
      <c r="I55" s="5"/>
      <c r="J55" s="5"/>
      <c r="K55" s="6" t="str">
        <f t="shared" si="1"/>
        <v/>
      </c>
      <c r="L55" s="8" t="str">
        <f>IF(Matchschema!$K50="","",IF(AND(I55=Matchschema!$K50,J55=Matchschema!$L50),Regler!$B$4,IF(K55=Matchschema!$M50,Regler!$B$5,0)))</f>
        <v/>
      </c>
      <c r="M55" s="3"/>
    </row>
    <row r="56" spans="1:13" ht="15">
      <c r="A56" s="3">
        <f>Matchschema!A51</f>
        <v>50</v>
      </c>
      <c r="B56" s="3" t="str">
        <f>Matchschema!B51</f>
        <v>Gruppspel</v>
      </c>
      <c r="C56" s="3" t="str">
        <f>Matchschema!C51</f>
        <v>B</v>
      </c>
      <c r="D56" s="4">
        <f>Matchschema!D51</f>
        <v>46197.875</v>
      </c>
      <c r="E56" s="3" t="str">
        <f>Matchschema!E51</f>
        <v>21:00</v>
      </c>
      <c r="F56" s="3" t="str">
        <f>Matchschema!H51</f>
        <v>Bosnia &amp; Herzegovina</v>
      </c>
      <c r="G56" s="3" t="str">
        <f>Matchschema!I51</f>
        <v>Qatar</v>
      </c>
      <c r="H56" s="3" t="str">
        <f>Matchschema!J51</f>
        <v>Lumen Field, Seattle</v>
      </c>
      <c r="I56" s="5"/>
      <c r="J56" s="5"/>
      <c r="K56" s="6" t="str">
        <f t="shared" si="1"/>
        <v/>
      </c>
      <c r="L56" s="8" t="str">
        <f>IF(Matchschema!$K51="","",IF(AND(I56=Matchschema!$K51,J56=Matchschema!$L51),Regler!$B$4,IF(K56=Matchschema!$M51,Regler!$B$5,0)))</f>
        <v/>
      </c>
      <c r="M56" s="3"/>
    </row>
    <row r="57" spans="1:13" ht="15">
      <c r="A57" s="3">
        <f>Matchschema!A52</f>
        <v>51</v>
      </c>
      <c r="B57" s="3" t="str">
        <f>Matchschema!B52</f>
        <v>Gruppspel</v>
      </c>
      <c r="C57" s="3" t="str">
        <f>Matchschema!C52</f>
        <v>C</v>
      </c>
      <c r="D57" s="4">
        <f>Matchschema!D52</f>
        <v>46198</v>
      </c>
      <c r="E57" s="3" t="str">
        <f>Matchschema!E52</f>
        <v>00:00</v>
      </c>
      <c r="F57" s="3" t="str">
        <f>Matchschema!H52</f>
        <v>Scotland</v>
      </c>
      <c r="G57" s="3" t="str">
        <f>Matchschema!I52</f>
        <v>Brazil</v>
      </c>
      <c r="H57" s="3" t="str">
        <f>Matchschema!J52</f>
        <v>Hard Rock Stadium, Miami Gardens</v>
      </c>
      <c r="I57" s="5"/>
      <c r="J57" s="5"/>
      <c r="K57" s="6" t="str">
        <f t="shared" si="1"/>
        <v/>
      </c>
      <c r="L57" s="8" t="str">
        <f>IF(Matchschema!$K52="","",IF(AND(I57=Matchschema!$K52,J57=Matchschema!$L52),Regler!$B$4,IF(K57=Matchschema!$M52,Regler!$B$5,0)))</f>
        <v/>
      </c>
      <c r="M57" s="3"/>
    </row>
    <row r="58" spans="1:13" ht="15">
      <c r="A58" s="3">
        <f>Matchschema!A53</f>
        <v>52</v>
      </c>
      <c r="B58" s="3" t="str">
        <f>Matchschema!B53</f>
        <v>Gruppspel</v>
      </c>
      <c r="C58" s="3" t="str">
        <f>Matchschema!C53</f>
        <v>C</v>
      </c>
      <c r="D58" s="4">
        <f>Matchschema!D53</f>
        <v>46198</v>
      </c>
      <c r="E58" s="3" t="str">
        <f>Matchschema!E53</f>
        <v>00:00</v>
      </c>
      <c r="F58" s="3" t="str">
        <f>Matchschema!H53</f>
        <v>Morocco</v>
      </c>
      <c r="G58" s="3" t="str">
        <f>Matchschema!I53</f>
        <v>Haiti</v>
      </c>
      <c r="H58" s="3" t="str">
        <f>Matchschema!J53</f>
        <v>Mercedes-Benz Stadium, Atlanta</v>
      </c>
      <c r="I58" s="5"/>
      <c r="J58" s="5"/>
      <c r="K58" s="6" t="str">
        <f t="shared" si="1"/>
        <v/>
      </c>
      <c r="L58" s="8" t="str">
        <f>IF(Matchschema!$K53="","",IF(AND(I58=Matchschema!$K53,J58=Matchschema!$L53),Regler!$B$4,IF(K58=Matchschema!$M53,Regler!$B$5,0)))</f>
        <v/>
      </c>
      <c r="M58" s="3"/>
    </row>
    <row r="59" spans="1:13" ht="15">
      <c r="A59" s="3">
        <f>Matchschema!A54</f>
        <v>53</v>
      </c>
      <c r="B59" s="3" t="str">
        <f>Matchschema!B54</f>
        <v>Gruppspel</v>
      </c>
      <c r="C59" s="3" t="str">
        <f>Matchschema!C54</f>
        <v>A</v>
      </c>
      <c r="D59" s="4">
        <f>Matchschema!D54</f>
        <v>46198.125</v>
      </c>
      <c r="E59" s="3" t="str">
        <f>Matchschema!E54</f>
        <v>03:00</v>
      </c>
      <c r="F59" s="3" t="str">
        <f>Matchschema!H54</f>
        <v>Czechia</v>
      </c>
      <c r="G59" s="3" t="str">
        <f>Matchschema!I54</f>
        <v>Mexico</v>
      </c>
      <c r="H59" s="3" t="str">
        <f>Matchschema!J54</f>
        <v>Estadio Azteca, Mexico City</v>
      </c>
      <c r="I59" s="5"/>
      <c r="J59" s="5"/>
      <c r="K59" s="6" t="str">
        <f t="shared" si="1"/>
        <v/>
      </c>
      <c r="L59" s="8" t="str">
        <f>IF(Matchschema!$K54="","",IF(AND(I59=Matchschema!$K54,J59=Matchschema!$L54),Regler!$B$4,IF(K59=Matchschema!$M54,Regler!$B$5,0)))</f>
        <v/>
      </c>
      <c r="M59" s="3"/>
    </row>
    <row r="60" spans="1:13" ht="15">
      <c r="A60" s="3">
        <f>Matchschema!A55</f>
        <v>54</v>
      </c>
      <c r="B60" s="3" t="str">
        <f>Matchschema!B55</f>
        <v>Gruppspel</v>
      </c>
      <c r="C60" s="3" t="str">
        <f>Matchschema!C55</f>
        <v>A</v>
      </c>
      <c r="D60" s="4">
        <f>Matchschema!D55</f>
        <v>46198.125</v>
      </c>
      <c r="E60" s="3" t="str">
        <f>Matchschema!E55</f>
        <v>03:00</v>
      </c>
      <c r="F60" s="3" t="str">
        <f>Matchschema!H55</f>
        <v>South Africa</v>
      </c>
      <c r="G60" s="3" t="str">
        <f>Matchschema!I55</f>
        <v>South Korea</v>
      </c>
      <c r="H60" s="3" t="str">
        <f>Matchschema!J55</f>
        <v>Estadio BBVA, Monterrey</v>
      </c>
      <c r="I60" s="5"/>
      <c r="J60" s="5"/>
      <c r="K60" s="6" t="str">
        <f t="shared" si="1"/>
        <v/>
      </c>
      <c r="L60" s="8" t="str">
        <f>IF(Matchschema!$K55="","",IF(AND(I60=Matchschema!$K55,J60=Matchschema!$L55),Regler!$B$4,IF(K60=Matchschema!$M55,Regler!$B$5,0)))</f>
        <v/>
      </c>
      <c r="M60" s="3"/>
    </row>
    <row r="61" spans="1:13" ht="15">
      <c r="A61" s="3">
        <f>Matchschema!A56</f>
        <v>55</v>
      </c>
      <c r="B61" s="3" t="str">
        <f>Matchschema!B56</f>
        <v>Gruppspel</v>
      </c>
      <c r="C61" s="3" t="str">
        <f>Matchschema!C56</f>
        <v>E</v>
      </c>
      <c r="D61" s="4">
        <f>Matchschema!D56</f>
        <v>46198.916666666664</v>
      </c>
      <c r="E61" s="3" t="str">
        <f>Matchschema!E56</f>
        <v>22:00</v>
      </c>
      <c r="F61" s="3" t="str">
        <f>Matchschema!H56</f>
        <v>Curaçao</v>
      </c>
      <c r="G61" s="3" t="str">
        <f>Matchschema!I56</f>
        <v>Ivory Coast</v>
      </c>
      <c r="H61" s="3" t="str">
        <f>Matchschema!J56</f>
        <v>Lincoln Financial Field, Philadelphia</v>
      </c>
      <c r="I61" s="5"/>
      <c r="J61" s="5"/>
      <c r="K61" s="6" t="str">
        <f t="shared" si="1"/>
        <v/>
      </c>
      <c r="L61" s="8" t="str">
        <f>IF(Matchschema!$K56="","",IF(AND(I61=Matchschema!$K56,J61=Matchschema!$L56),Regler!$B$4,IF(K61=Matchschema!$M56,Regler!$B$5,0)))</f>
        <v/>
      </c>
      <c r="M61" s="3"/>
    </row>
    <row r="62" spans="1:13" ht="15">
      <c r="A62" s="3">
        <f>Matchschema!A57</f>
        <v>56</v>
      </c>
      <c r="B62" s="3" t="str">
        <f>Matchschema!B57</f>
        <v>Gruppspel</v>
      </c>
      <c r="C62" s="3" t="str">
        <f>Matchschema!C57</f>
        <v>E</v>
      </c>
      <c r="D62" s="4">
        <f>Matchschema!D57</f>
        <v>46198.916666666664</v>
      </c>
      <c r="E62" s="3" t="str">
        <f>Matchschema!E57</f>
        <v>22:00</v>
      </c>
      <c r="F62" s="3" t="str">
        <f>Matchschema!H57</f>
        <v>Ecuador</v>
      </c>
      <c r="G62" s="3" t="str">
        <f>Matchschema!I57</f>
        <v>Germany</v>
      </c>
      <c r="H62" s="3" t="str">
        <f>Matchschema!J57</f>
        <v>MetLife Stadium, East Rutherford</v>
      </c>
      <c r="I62" s="5"/>
      <c r="J62" s="5"/>
      <c r="K62" s="6" t="str">
        <f t="shared" si="1"/>
        <v/>
      </c>
      <c r="L62" s="8" t="str">
        <f>IF(Matchschema!$K57="","",IF(AND(I62=Matchschema!$K57,J62=Matchschema!$L57),Regler!$B$4,IF(K62=Matchschema!$M57,Regler!$B$5,0)))</f>
        <v/>
      </c>
      <c r="M62" s="3"/>
    </row>
    <row r="63" spans="1:13" ht="15">
      <c r="A63" s="3">
        <f>Matchschema!A58</f>
        <v>57</v>
      </c>
      <c r="B63" s="3" t="str">
        <f>Matchschema!B58</f>
        <v>Gruppspel</v>
      </c>
      <c r="C63" s="3" t="str">
        <f>Matchschema!C58</f>
        <v>F</v>
      </c>
      <c r="D63" s="4">
        <f>Matchschema!D58</f>
        <v>46199.041666666664</v>
      </c>
      <c r="E63" s="3" t="str">
        <f>Matchschema!E58</f>
        <v>01:00</v>
      </c>
      <c r="F63" s="3" t="str">
        <f>Matchschema!H58</f>
        <v>Japan</v>
      </c>
      <c r="G63" s="3" t="str">
        <f>Matchschema!I58</f>
        <v>Sweden</v>
      </c>
      <c r="H63" s="3" t="str">
        <f>Matchschema!J58</f>
        <v>AT&amp;T Stadium, Arlington</v>
      </c>
      <c r="I63" s="5"/>
      <c r="J63" s="5"/>
      <c r="K63" s="6" t="str">
        <f t="shared" si="1"/>
        <v/>
      </c>
      <c r="L63" s="8" t="str">
        <f>IF(Matchschema!$K58="","",IF(AND(I63=Matchschema!$K58,J63=Matchschema!$L58),Regler!$B$4,IF(K63=Matchschema!$M58,Regler!$B$5,0)))</f>
        <v/>
      </c>
      <c r="M63" s="3"/>
    </row>
    <row r="64" spans="1:13" ht="15">
      <c r="A64" s="3">
        <f>Matchschema!A59</f>
        <v>58</v>
      </c>
      <c r="B64" s="3" t="str">
        <f>Matchschema!B59</f>
        <v>Gruppspel</v>
      </c>
      <c r="C64" s="3" t="str">
        <f>Matchschema!C59</f>
        <v>F</v>
      </c>
      <c r="D64" s="4">
        <f>Matchschema!D59</f>
        <v>46199.041666666664</v>
      </c>
      <c r="E64" s="3" t="str">
        <f>Matchschema!E59</f>
        <v>01:00</v>
      </c>
      <c r="F64" s="3" t="str">
        <f>Matchschema!H59</f>
        <v>Tunisia</v>
      </c>
      <c r="G64" s="3" t="str">
        <f>Matchschema!I59</f>
        <v>Netherlands</v>
      </c>
      <c r="H64" s="3" t="str">
        <f>Matchschema!J59</f>
        <v>Arrowhead Stadium, Kansas City</v>
      </c>
      <c r="I64" s="5"/>
      <c r="J64" s="5"/>
      <c r="K64" s="6" t="str">
        <f t="shared" si="1"/>
        <v/>
      </c>
      <c r="L64" s="8" t="str">
        <f>IF(Matchschema!$K59="","",IF(AND(I64=Matchschema!$K59,J64=Matchschema!$L59),Regler!$B$4,IF(K64=Matchschema!$M59,Regler!$B$5,0)))</f>
        <v/>
      </c>
      <c r="M64" s="3"/>
    </row>
    <row r="65" spans="1:13" ht="15">
      <c r="A65" s="3">
        <f>Matchschema!A60</f>
        <v>59</v>
      </c>
      <c r="B65" s="3" t="str">
        <f>Matchschema!B60</f>
        <v>Gruppspel</v>
      </c>
      <c r="C65" s="3" t="str">
        <f>Matchschema!C60</f>
        <v>D</v>
      </c>
      <c r="D65" s="4">
        <f>Matchschema!D60</f>
        <v>46199.166666666664</v>
      </c>
      <c r="E65" s="3" t="str">
        <f>Matchschema!E60</f>
        <v>04:00</v>
      </c>
      <c r="F65" s="3" t="str">
        <f>Matchschema!H60</f>
        <v>Türkiye</v>
      </c>
      <c r="G65" s="3" t="str">
        <f>Matchschema!I60</f>
        <v>USA</v>
      </c>
      <c r="H65" s="3" t="str">
        <f>Matchschema!J60</f>
        <v>SoFi Stadium, Inglewood</v>
      </c>
      <c r="I65" s="5"/>
      <c r="J65" s="5"/>
      <c r="K65" s="6" t="str">
        <f t="shared" si="1"/>
        <v/>
      </c>
      <c r="L65" s="8" t="str">
        <f>IF(Matchschema!$K60="","",IF(AND(I65=Matchschema!$K60,J65=Matchschema!$L60),Regler!$B$4,IF(K65=Matchschema!$M60,Regler!$B$5,0)))</f>
        <v/>
      </c>
      <c r="M65" s="3"/>
    </row>
    <row r="66" spans="1:13" ht="15">
      <c r="A66" s="3">
        <f>Matchschema!A61</f>
        <v>60</v>
      </c>
      <c r="B66" s="3" t="str">
        <f>Matchschema!B61</f>
        <v>Gruppspel</v>
      </c>
      <c r="C66" s="3" t="str">
        <f>Matchschema!C61</f>
        <v>D</v>
      </c>
      <c r="D66" s="4">
        <f>Matchschema!D61</f>
        <v>46199.166666666664</v>
      </c>
      <c r="E66" s="3" t="str">
        <f>Matchschema!E61</f>
        <v>04:00</v>
      </c>
      <c r="F66" s="3" t="str">
        <f>Matchschema!H61</f>
        <v>Paraguay</v>
      </c>
      <c r="G66" s="3" t="str">
        <f>Matchschema!I61</f>
        <v>Australia</v>
      </c>
      <c r="H66" s="3" t="str">
        <f>Matchschema!J61</f>
        <v>Levi’s Stadium, Santa Clara</v>
      </c>
      <c r="I66" s="5"/>
      <c r="J66" s="5"/>
      <c r="K66" s="6" t="str">
        <f t="shared" si="1"/>
        <v/>
      </c>
      <c r="L66" s="8" t="str">
        <f>IF(Matchschema!$K61="","",IF(AND(I66=Matchschema!$K61,J66=Matchschema!$L61),Regler!$B$4,IF(K66=Matchschema!$M61,Regler!$B$5,0)))</f>
        <v/>
      </c>
      <c r="M66" s="3"/>
    </row>
    <row r="67" spans="1:13" ht="15">
      <c r="A67" s="3">
        <f>Matchschema!A62</f>
        <v>61</v>
      </c>
      <c r="B67" s="3" t="str">
        <f>Matchschema!B62</f>
        <v>Gruppspel</v>
      </c>
      <c r="C67" s="3" t="str">
        <f>Matchschema!C62</f>
        <v>I</v>
      </c>
      <c r="D67" s="4">
        <f>Matchschema!D62</f>
        <v>46199.875</v>
      </c>
      <c r="E67" s="3" t="str">
        <f>Matchschema!E62</f>
        <v>21:00</v>
      </c>
      <c r="F67" s="3" t="str">
        <f>Matchschema!H62</f>
        <v>Norway</v>
      </c>
      <c r="G67" s="3" t="str">
        <f>Matchschema!I62</f>
        <v>France</v>
      </c>
      <c r="H67" s="3" t="str">
        <f>Matchschema!J62</f>
        <v>Gillette Stadium, Foxborough</v>
      </c>
      <c r="I67" s="5"/>
      <c r="J67" s="5"/>
      <c r="K67" s="6" t="str">
        <f t="shared" si="1"/>
        <v/>
      </c>
      <c r="L67" s="8" t="str">
        <f>IF(Matchschema!$K62="","",IF(AND(I67=Matchschema!$K62,J67=Matchschema!$L62),Regler!$B$4,IF(K67=Matchschema!$M62,Regler!$B$5,0)))</f>
        <v/>
      </c>
      <c r="M67" s="3"/>
    </row>
    <row r="68" spans="1:13" ht="15">
      <c r="A68" s="3">
        <f>Matchschema!A63</f>
        <v>62</v>
      </c>
      <c r="B68" s="3" t="str">
        <f>Matchschema!B63</f>
        <v>Gruppspel</v>
      </c>
      <c r="C68" s="3" t="str">
        <f>Matchschema!C63</f>
        <v>I</v>
      </c>
      <c r="D68" s="4">
        <f>Matchschema!D63</f>
        <v>46199.875</v>
      </c>
      <c r="E68" s="3" t="str">
        <f>Matchschema!E63</f>
        <v>21:00</v>
      </c>
      <c r="F68" s="3" t="str">
        <f>Matchschema!H63</f>
        <v>Senegal</v>
      </c>
      <c r="G68" s="3" t="str">
        <f>Matchschema!I63</f>
        <v>Iraq</v>
      </c>
      <c r="H68" s="3" t="str">
        <f>Matchschema!J63</f>
        <v>BMO Field, Toronto</v>
      </c>
      <c r="I68" s="5"/>
      <c r="J68" s="5"/>
      <c r="K68" s="6" t="str">
        <f t="shared" si="1"/>
        <v/>
      </c>
      <c r="L68" s="8" t="str">
        <f>IF(Matchschema!$K63="","",IF(AND(I68=Matchschema!$K63,J68=Matchschema!$L63),Regler!$B$4,IF(K68=Matchschema!$M63,Regler!$B$5,0)))</f>
        <v/>
      </c>
      <c r="M68" s="3"/>
    </row>
    <row r="69" spans="1:13" ht="15">
      <c r="A69" s="3">
        <f>Matchschema!A64</f>
        <v>63</v>
      </c>
      <c r="B69" s="3" t="str">
        <f>Matchschema!B64</f>
        <v>Gruppspel</v>
      </c>
      <c r="C69" s="3" t="str">
        <f>Matchschema!C64</f>
        <v>H</v>
      </c>
      <c r="D69" s="4">
        <f>Matchschema!D64</f>
        <v>46200.083333333336</v>
      </c>
      <c r="E69" s="3" t="str">
        <f>Matchschema!E64</f>
        <v>02:00</v>
      </c>
      <c r="F69" s="3" t="str">
        <f>Matchschema!H64</f>
        <v>Cape Verde</v>
      </c>
      <c r="G69" s="3" t="str">
        <f>Matchschema!I64</f>
        <v>Saudi Arabia</v>
      </c>
      <c r="H69" s="3" t="str">
        <f>Matchschema!J64</f>
        <v>NRG Stadium, Houston</v>
      </c>
      <c r="I69" s="5"/>
      <c r="J69" s="5"/>
      <c r="K69" s="6" t="str">
        <f t="shared" si="1"/>
        <v/>
      </c>
      <c r="L69" s="8" t="str">
        <f>IF(Matchschema!$K64="","",IF(AND(I69=Matchschema!$K64,J69=Matchschema!$L64),Regler!$B$4,IF(K69=Matchschema!$M64,Regler!$B$5,0)))</f>
        <v/>
      </c>
      <c r="M69" s="3"/>
    </row>
    <row r="70" spans="1:13" ht="15">
      <c r="A70" s="3">
        <f>Matchschema!A65</f>
        <v>64</v>
      </c>
      <c r="B70" s="3" t="str">
        <f>Matchschema!B65</f>
        <v>Gruppspel</v>
      </c>
      <c r="C70" s="3" t="str">
        <f>Matchschema!C65</f>
        <v>H</v>
      </c>
      <c r="D70" s="4">
        <f>Matchschema!D65</f>
        <v>46200.083333333336</v>
      </c>
      <c r="E70" s="3" t="str">
        <f>Matchschema!E65</f>
        <v>02:00</v>
      </c>
      <c r="F70" s="3" t="str">
        <f>Matchschema!H65</f>
        <v>Uruguay</v>
      </c>
      <c r="G70" s="3" t="str">
        <f>Matchschema!I65</f>
        <v>Spain</v>
      </c>
      <c r="H70" s="3" t="str">
        <f>Matchschema!J65</f>
        <v>Estadio Akron, Zapopan</v>
      </c>
      <c r="I70" s="5"/>
      <c r="J70" s="5"/>
      <c r="K70" s="6" t="str">
        <f t="shared" si="1"/>
        <v/>
      </c>
      <c r="L70" s="8" t="str">
        <f>IF(Matchschema!$K65="","",IF(AND(I70=Matchschema!$K65,J70=Matchschema!$L65),Regler!$B$4,IF(K70=Matchschema!$M65,Regler!$B$5,0)))</f>
        <v/>
      </c>
      <c r="M70" s="3"/>
    </row>
    <row r="71" spans="1:13" ht="15">
      <c r="A71" s="3">
        <f>Matchschema!A66</f>
        <v>65</v>
      </c>
      <c r="B71" s="3" t="str">
        <f>Matchschema!B66</f>
        <v>Gruppspel</v>
      </c>
      <c r="C71" s="3" t="str">
        <f>Matchschema!C66</f>
        <v>G</v>
      </c>
      <c r="D71" s="4">
        <f>Matchschema!D66</f>
        <v>46200.208333333336</v>
      </c>
      <c r="E71" s="3" t="str">
        <f>Matchschema!E66</f>
        <v>05:00</v>
      </c>
      <c r="F71" s="3" t="str">
        <f>Matchschema!H66</f>
        <v>Egypt</v>
      </c>
      <c r="G71" s="3" t="str">
        <f>Matchschema!I66</f>
        <v>Iran</v>
      </c>
      <c r="H71" s="3" t="str">
        <f>Matchschema!J66</f>
        <v>Lumen Field, Seattle</v>
      </c>
      <c r="I71" s="5"/>
      <c r="J71" s="5"/>
      <c r="K71" s="6" t="str">
        <f t="shared" ref="K71:K102" si="2">IF(OR(I71="",J71=""),"",IF(I71&gt;J71,"1",IF(I71=J71,"X","2")))</f>
        <v/>
      </c>
      <c r="L71" s="8" t="str">
        <f>IF(Matchschema!$K66="","",IF(AND(I71=Matchschema!$K66,J71=Matchschema!$L66),Regler!$B$4,IF(K71=Matchschema!$M66,Regler!$B$5,0)))</f>
        <v/>
      </c>
      <c r="M71" s="3"/>
    </row>
    <row r="72" spans="1:13" ht="15">
      <c r="A72" s="3">
        <f>Matchschema!A67</f>
        <v>66</v>
      </c>
      <c r="B72" s="3" t="str">
        <f>Matchschema!B67</f>
        <v>Gruppspel</v>
      </c>
      <c r="C72" s="3" t="str">
        <f>Matchschema!C67</f>
        <v>G</v>
      </c>
      <c r="D72" s="4">
        <f>Matchschema!D67</f>
        <v>46200.208333333336</v>
      </c>
      <c r="E72" s="3" t="str">
        <f>Matchschema!E67</f>
        <v>05:00</v>
      </c>
      <c r="F72" s="3" t="str">
        <f>Matchschema!H67</f>
        <v>New Zealand</v>
      </c>
      <c r="G72" s="3" t="str">
        <f>Matchschema!I67</f>
        <v>Belgium</v>
      </c>
      <c r="H72" s="3" t="str">
        <f>Matchschema!J67</f>
        <v>BC Place, Vancouver</v>
      </c>
      <c r="I72" s="5"/>
      <c r="J72" s="5"/>
      <c r="K72" s="6" t="str">
        <f t="shared" si="2"/>
        <v/>
      </c>
      <c r="L72" s="8" t="str">
        <f>IF(Matchschema!$K67="","",IF(AND(I72=Matchschema!$K67,J72=Matchschema!$L67),Regler!$B$4,IF(K72=Matchschema!$M67,Regler!$B$5,0)))</f>
        <v/>
      </c>
      <c r="M72" s="3"/>
    </row>
    <row r="73" spans="1:13" ht="15">
      <c r="A73" s="3">
        <f>Matchschema!A68</f>
        <v>67</v>
      </c>
      <c r="B73" s="3" t="str">
        <f>Matchschema!B68</f>
        <v>Gruppspel</v>
      </c>
      <c r="C73" s="3" t="str">
        <f>Matchschema!C68</f>
        <v>L</v>
      </c>
      <c r="D73" s="4">
        <f>Matchschema!D68</f>
        <v>46200.958333333336</v>
      </c>
      <c r="E73" s="3" t="str">
        <f>Matchschema!E68</f>
        <v>23:00</v>
      </c>
      <c r="F73" s="3" t="str">
        <f>Matchschema!H68</f>
        <v>Panama</v>
      </c>
      <c r="G73" s="3" t="str">
        <f>Matchschema!I68</f>
        <v>England</v>
      </c>
      <c r="H73" s="3" t="str">
        <f>Matchschema!J68</f>
        <v>MetLife Stadium, East Rutherford</v>
      </c>
      <c r="I73" s="5"/>
      <c r="J73" s="5"/>
      <c r="K73" s="6" t="str">
        <f t="shared" si="2"/>
        <v/>
      </c>
      <c r="L73" s="8" t="str">
        <f>IF(Matchschema!$K68="","",IF(AND(I73=Matchschema!$K68,J73=Matchschema!$L68),Regler!$B$4,IF(K73=Matchschema!$M68,Regler!$B$5,0)))</f>
        <v/>
      </c>
      <c r="M73" s="3"/>
    </row>
    <row r="74" spans="1:13" ht="15">
      <c r="A74" s="3">
        <f>Matchschema!A69</f>
        <v>68</v>
      </c>
      <c r="B74" s="3" t="str">
        <f>Matchschema!B69</f>
        <v>Gruppspel</v>
      </c>
      <c r="C74" s="3" t="str">
        <f>Matchschema!C69</f>
        <v>L</v>
      </c>
      <c r="D74" s="4">
        <f>Matchschema!D69</f>
        <v>46200.958333333336</v>
      </c>
      <c r="E74" s="3" t="str">
        <f>Matchschema!E69</f>
        <v>23:00</v>
      </c>
      <c r="F74" s="3" t="str">
        <f>Matchschema!H69</f>
        <v>Croatia</v>
      </c>
      <c r="G74" s="3" t="str">
        <f>Matchschema!I69</f>
        <v>Ghana</v>
      </c>
      <c r="H74" s="3" t="str">
        <f>Matchschema!J69</f>
        <v>Lincoln Financial Field, Philadelphia</v>
      </c>
      <c r="I74" s="5"/>
      <c r="J74" s="5"/>
      <c r="K74" s="6" t="str">
        <f t="shared" si="2"/>
        <v/>
      </c>
      <c r="L74" s="8" t="str">
        <f>IF(Matchschema!$K69="","",IF(AND(I74=Matchschema!$K69,J74=Matchschema!$L69),Regler!$B$4,IF(K74=Matchschema!$M69,Regler!$B$5,0)))</f>
        <v/>
      </c>
      <c r="M74" s="3"/>
    </row>
    <row r="75" spans="1:13" ht="15">
      <c r="A75" s="3">
        <f>Matchschema!A70</f>
        <v>69</v>
      </c>
      <c r="B75" s="3" t="str">
        <f>Matchschema!B70</f>
        <v>Gruppspel</v>
      </c>
      <c r="C75" s="3" t="str">
        <f>Matchschema!C70</f>
        <v>K</v>
      </c>
      <c r="D75" s="4">
        <f>Matchschema!D70</f>
        <v>46201.0625</v>
      </c>
      <c r="E75" s="3" t="str">
        <f>Matchschema!E70</f>
        <v>01:30</v>
      </c>
      <c r="F75" s="3" t="str">
        <f>Matchschema!H70</f>
        <v>Colombia</v>
      </c>
      <c r="G75" s="3" t="str">
        <f>Matchschema!I70</f>
        <v>Portugal</v>
      </c>
      <c r="H75" s="3" t="str">
        <f>Matchschema!J70</f>
        <v>Hard Rock Stadium, Miami Gardens</v>
      </c>
      <c r="I75" s="5"/>
      <c r="J75" s="5"/>
      <c r="K75" s="6" t="str">
        <f t="shared" si="2"/>
        <v/>
      </c>
      <c r="L75" s="8" t="str">
        <f>IF(Matchschema!$K70="","",IF(AND(I75=Matchschema!$K70,J75=Matchschema!$L70),Regler!$B$4,IF(K75=Matchschema!$M70,Regler!$B$5,0)))</f>
        <v/>
      </c>
      <c r="M75" s="3"/>
    </row>
    <row r="76" spans="1:13" ht="15">
      <c r="A76" s="3">
        <f>Matchschema!A71</f>
        <v>70</v>
      </c>
      <c r="B76" s="3" t="str">
        <f>Matchschema!B71</f>
        <v>Gruppspel</v>
      </c>
      <c r="C76" s="3" t="str">
        <f>Matchschema!C71</f>
        <v>K</v>
      </c>
      <c r="D76" s="4">
        <f>Matchschema!D71</f>
        <v>46201.0625</v>
      </c>
      <c r="E76" s="3" t="str">
        <f>Matchschema!E71</f>
        <v>01:30</v>
      </c>
      <c r="F76" s="3" t="str">
        <f>Matchschema!H71</f>
        <v>DR Congo</v>
      </c>
      <c r="G76" s="3" t="str">
        <f>Matchschema!I71</f>
        <v>Uzbekistan</v>
      </c>
      <c r="H76" s="3" t="str">
        <f>Matchschema!J71</f>
        <v>Mercedes-Benz Stadium, Atlanta</v>
      </c>
      <c r="I76" s="5"/>
      <c r="J76" s="5"/>
      <c r="K76" s="6" t="str">
        <f t="shared" si="2"/>
        <v/>
      </c>
      <c r="L76" s="8" t="str">
        <f>IF(Matchschema!$K71="","",IF(AND(I76=Matchschema!$K71,J76=Matchschema!$L71),Regler!$B$4,IF(K76=Matchschema!$M71,Regler!$B$5,0)))</f>
        <v/>
      </c>
      <c r="M76" s="3"/>
    </row>
    <row r="77" spans="1:13" ht="15">
      <c r="A77" s="3">
        <f>Matchschema!A72</f>
        <v>71</v>
      </c>
      <c r="B77" s="3" t="str">
        <f>Matchschema!B72</f>
        <v>Gruppspel</v>
      </c>
      <c r="C77" s="3" t="str">
        <f>Matchschema!C72</f>
        <v>J</v>
      </c>
      <c r="D77" s="4">
        <f>Matchschema!D72</f>
        <v>46201.166666666664</v>
      </c>
      <c r="E77" s="3" t="str">
        <f>Matchschema!E72</f>
        <v>04:00</v>
      </c>
      <c r="F77" s="3" t="str">
        <f>Matchschema!H72</f>
        <v>Algeria</v>
      </c>
      <c r="G77" s="3" t="str">
        <f>Matchschema!I72</f>
        <v>Austria</v>
      </c>
      <c r="H77" s="3" t="str">
        <f>Matchschema!J72</f>
        <v>Arrowhead Stadium, Kansas City</v>
      </c>
      <c r="I77" s="5"/>
      <c r="J77" s="5"/>
      <c r="K77" s="6" t="str">
        <f t="shared" si="2"/>
        <v/>
      </c>
      <c r="L77" s="8" t="str">
        <f>IF(Matchschema!$K72="","",IF(AND(I77=Matchschema!$K72,J77=Matchschema!$L72),Regler!$B$4,IF(K77=Matchschema!$M72,Regler!$B$5,0)))</f>
        <v/>
      </c>
      <c r="M77" s="3"/>
    </row>
    <row r="78" spans="1:13" ht="15">
      <c r="A78" s="3">
        <f>Matchschema!A73</f>
        <v>72</v>
      </c>
      <c r="B78" s="3" t="str">
        <f>Matchschema!B73</f>
        <v>Gruppspel</v>
      </c>
      <c r="C78" s="3" t="str">
        <f>Matchschema!C73</f>
        <v>J</v>
      </c>
      <c r="D78" s="4">
        <f>Matchschema!D73</f>
        <v>46201.166666666664</v>
      </c>
      <c r="E78" s="3" t="str">
        <f>Matchschema!E73</f>
        <v>04:00</v>
      </c>
      <c r="F78" s="3" t="str">
        <f>Matchschema!H73</f>
        <v>Jordan</v>
      </c>
      <c r="G78" s="3" t="str">
        <f>Matchschema!I73</f>
        <v>Argentina</v>
      </c>
      <c r="H78" s="3" t="str">
        <f>Matchschema!J73</f>
        <v>AT&amp;T Stadium, Arlington</v>
      </c>
      <c r="I78" s="5"/>
      <c r="J78" s="5"/>
      <c r="K78" s="6" t="str">
        <f t="shared" si="2"/>
        <v/>
      </c>
      <c r="L78" s="8" t="str">
        <f>IF(Matchschema!$K73="","",IF(AND(I78=Matchschema!$K73,J78=Matchschema!$L73),Regler!$B$4,IF(K78=Matchschema!$M73,Regler!$B$5,0)))</f>
        <v/>
      </c>
      <c r="M78" s="3"/>
    </row>
    <row r="79" spans="1:13" ht="15">
      <c r="A79" s="3">
        <f>Matchschema!A74</f>
        <v>73</v>
      </c>
      <c r="B79" s="3" t="str">
        <f>Matchschema!B74</f>
        <v>32-delsfinal</v>
      </c>
      <c r="C79" s="3">
        <f>Matchschema!C74</f>
        <v>0</v>
      </c>
      <c r="D79" s="4">
        <f>Matchschema!D74</f>
        <v>46201.875</v>
      </c>
      <c r="E79" s="3" t="str">
        <f>Matchschema!E74</f>
        <v>21:00</v>
      </c>
      <c r="F79" s="3" t="str">
        <f>Matchschema!H74</f>
        <v>Runner-up A</v>
      </c>
      <c r="G79" s="3" t="str">
        <f>Matchschema!I74</f>
        <v>Runner-up B</v>
      </c>
      <c r="H79" s="3" t="str">
        <f>Matchschema!J74</f>
        <v>SoFi Stadium, Inglewood</v>
      </c>
      <c r="I79" s="5"/>
      <c r="J79" s="5"/>
      <c r="K79" s="6" t="str">
        <f t="shared" si="2"/>
        <v/>
      </c>
      <c r="L79" s="8" t="str">
        <f>IF(Matchschema!$K74="","",IF(AND(I79=Matchschema!$K74,J79=Matchschema!$L74),Regler!$B$4,IF(K79=Matchschema!$M74,Regler!$B$5,0)))</f>
        <v/>
      </c>
      <c r="M79" s="3"/>
    </row>
    <row r="80" spans="1:13" ht="15">
      <c r="A80" s="3">
        <f>Matchschema!A75</f>
        <v>74</v>
      </c>
      <c r="B80" s="3" t="str">
        <f>Matchschema!B75</f>
        <v>32-delsfinal</v>
      </c>
      <c r="C80" s="3">
        <f>Matchschema!C75</f>
        <v>0</v>
      </c>
      <c r="D80" s="4">
        <f>Matchschema!D75</f>
        <v>46202.791666666664</v>
      </c>
      <c r="E80" s="3" t="str">
        <f>Matchschema!E75</f>
        <v>19:00</v>
      </c>
      <c r="F80" s="3" t="str">
        <f>Matchschema!H75</f>
        <v>Winner C</v>
      </c>
      <c r="G80" s="3" t="str">
        <f>Matchschema!I75</f>
        <v>Runner-up F</v>
      </c>
      <c r="H80" s="3" t="str">
        <f>Matchschema!J75</f>
        <v>NRG Stadium, Houston</v>
      </c>
      <c r="I80" s="5"/>
      <c r="J80" s="5"/>
      <c r="K80" s="6" t="str">
        <f t="shared" si="2"/>
        <v/>
      </c>
      <c r="L80" s="8" t="str">
        <f>IF(Matchschema!$K75="","",IF(AND(I80=Matchschema!$K75,J80=Matchschema!$L75),Regler!$B$4,IF(K80=Matchschema!$M75,Regler!$B$5,0)))</f>
        <v/>
      </c>
      <c r="M80" s="3"/>
    </row>
    <row r="81" spans="1:13" ht="15">
      <c r="A81" s="3">
        <f>Matchschema!A76</f>
        <v>75</v>
      </c>
      <c r="B81" s="3" t="str">
        <f>Matchschema!B76</f>
        <v>32-delsfinal</v>
      </c>
      <c r="C81" s="3">
        <f>Matchschema!C76</f>
        <v>0</v>
      </c>
      <c r="D81" s="4">
        <f>Matchschema!D76</f>
        <v>46202.9375</v>
      </c>
      <c r="E81" s="3" t="str">
        <f>Matchschema!E76</f>
        <v>22:30</v>
      </c>
      <c r="F81" s="3" t="str">
        <f>Matchschema!H76</f>
        <v>Winner E</v>
      </c>
      <c r="G81" s="3" t="str">
        <f>Matchschema!I76</f>
        <v>Best 3rd (A/B/C/D/F)</v>
      </c>
      <c r="H81" s="3" t="str">
        <f>Matchschema!J76</f>
        <v>Gillette Stadium, Foxborough</v>
      </c>
      <c r="I81" s="5"/>
      <c r="J81" s="5"/>
      <c r="K81" s="6" t="str">
        <f t="shared" si="2"/>
        <v/>
      </c>
      <c r="L81" s="8" t="str">
        <f>IF(Matchschema!$K76="","",IF(AND(I81=Matchschema!$K76,J81=Matchschema!$L76),Regler!$B$4,IF(K81=Matchschema!$M76,Regler!$B$5,0)))</f>
        <v/>
      </c>
      <c r="M81" s="3"/>
    </row>
    <row r="82" spans="1:13" ht="15">
      <c r="A82" s="3">
        <f>Matchschema!A77</f>
        <v>76</v>
      </c>
      <c r="B82" s="3" t="str">
        <f>Matchschema!B77</f>
        <v>32-delsfinal</v>
      </c>
      <c r="C82" s="3">
        <f>Matchschema!C77</f>
        <v>0</v>
      </c>
      <c r="D82" s="4">
        <f>Matchschema!D77</f>
        <v>46203.125</v>
      </c>
      <c r="E82" s="3" t="str">
        <f>Matchschema!E77</f>
        <v>03:00</v>
      </c>
      <c r="F82" s="3" t="str">
        <f>Matchschema!H77</f>
        <v>Winner F</v>
      </c>
      <c r="G82" s="3" t="str">
        <f>Matchschema!I77</f>
        <v>Runner-up C</v>
      </c>
      <c r="H82" s="3" t="str">
        <f>Matchschema!J77</f>
        <v>Estadio BBVA, Monterrey</v>
      </c>
      <c r="I82" s="5"/>
      <c r="J82" s="5"/>
      <c r="K82" s="6" t="str">
        <f t="shared" si="2"/>
        <v/>
      </c>
      <c r="L82" s="8" t="str">
        <f>IF(Matchschema!$K77="","",IF(AND(I82=Matchschema!$K77,J82=Matchschema!$L77),Regler!$B$4,IF(K82=Matchschema!$M77,Regler!$B$5,0)))</f>
        <v/>
      </c>
      <c r="M82" s="3"/>
    </row>
    <row r="83" spans="1:13" ht="15">
      <c r="A83" s="3">
        <f>Matchschema!A78</f>
        <v>77</v>
      </c>
      <c r="B83" s="3" t="str">
        <f>Matchschema!B78</f>
        <v>32-delsfinal</v>
      </c>
      <c r="C83" s="3">
        <f>Matchschema!C78</f>
        <v>0</v>
      </c>
      <c r="D83" s="4">
        <f>Matchschema!D78</f>
        <v>46203.791666666664</v>
      </c>
      <c r="E83" s="3" t="str">
        <f>Matchschema!E78</f>
        <v>19:00</v>
      </c>
      <c r="F83" s="3" t="str">
        <f>Matchschema!H78</f>
        <v>Runner-up E</v>
      </c>
      <c r="G83" s="3" t="str">
        <f>Matchschema!I78</f>
        <v>Runner-up I</v>
      </c>
      <c r="H83" s="3" t="str">
        <f>Matchschema!J78</f>
        <v>AT&amp;T Stadium, Arlington</v>
      </c>
      <c r="I83" s="5"/>
      <c r="J83" s="5"/>
      <c r="K83" s="6" t="str">
        <f t="shared" si="2"/>
        <v/>
      </c>
      <c r="L83" s="8" t="str">
        <f>IF(Matchschema!$K78="","",IF(AND(I83=Matchschema!$K78,J83=Matchschema!$L78),Regler!$B$4,IF(K83=Matchschema!$M78,Regler!$B$5,0)))</f>
        <v/>
      </c>
      <c r="M83" s="3"/>
    </row>
    <row r="84" spans="1:13" ht="15">
      <c r="A84" s="3">
        <f>Matchschema!A79</f>
        <v>78</v>
      </c>
      <c r="B84" s="3" t="str">
        <f>Matchschema!B79</f>
        <v>32-delsfinal</v>
      </c>
      <c r="C84" s="3">
        <f>Matchschema!C79</f>
        <v>0</v>
      </c>
      <c r="D84" s="4">
        <f>Matchschema!D79</f>
        <v>46203.958333333336</v>
      </c>
      <c r="E84" s="3" t="str">
        <f>Matchschema!E79</f>
        <v>23:00</v>
      </c>
      <c r="F84" s="3" t="str">
        <f>Matchschema!H79</f>
        <v>Winner I</v>
      </c>
      <c r="G84" s="3" t="str">
        <f>Matchschema!I79</f>
        <v>Best 3rd (C/D/F/G/H)</v>
      </c>
      <c r="H84" s="3" t="str">
        <f>Matchschema!J79</f>
        <v>MetLife Stadium, East Rutherford</v>
      </c>
      <c r="I84" s="5"/>
      <c r="J84" s="5"/>
      <c r="K84" s="6" t="str">
        <f t="shared" si="2"/>
        <v/>
      </c>
      <c r="L84" s="8" t="str">
        <f>IF(Matchschema!$K79="","",IF(AND(I84=Matchschema!$K79,J84=Matchschema!$L79),Regler!$B$4,IF(K84=Matchschema!$M79,Regler!$B$5,0)))</f>
        <v/>
      </c>
      <c r="M84" s="3"/>
    </row>
    <row r="85" spans="1:13" ht="15">
      <c r="A85" s="3">
        <f>Matchschema!A80</f>
        <v>79</v>
      </c>
      <c r="B85" s="3" t="str">
        <f>Matchschema!B80</f>
        <v>32-delsfinal</v>
      </c>
      <c r="C85" s="3">
        <f>Matchschema!C80</f>
        <v>0</v>
      </c>
      <c r="D85" s="4">
        <f>Matchschema!D80</f>
        <v>46204.125</v>
      </c>
      <c r="E85" s="3" t="str">
        <f>Matchschema!E80</f>
        <v>03:00</v>
      </c>
      <c r="F85" s="3" t="str">
        <f>Matchschema!H80</f>
        <v>Winner A</v>
      </c>
      <c r="G85" s="3" t="str">
        <f>Matchschema!I80</f>
        <v>Best 3rd (C/E/F/H/I)</v>
      </c>
      <c r="H85" s="3" t="str">
        <f>Matchschema!J80</f>
        <v>Estadio Azteca, Mexico City</v>
      </c>
      <c r="I85" s="5"/>
      <c r="J85" s="5"/>
      <c r="K85" s="6" t="str">
        <f t="shared" si="2"/>
        <v/>
      </c>
      <c r="L85" s="8" t="str">
        <f>IF(Matchschema!$K80="","",IF(AND(I85=Matchschema!$K80,J85=Matchschema!$L80),Regler!$B$4,IF(K85=Matchschema!$M80,Regler!$B$5,0)))</f>
        <v/>
      </c>
      <c r="M85" s="3"/>
    </row>
    <row r="86" spans="1:13" ht="15">
      <c r="A86" s="3">
        <f>Matchschema!A81</f>
        <v>80</v>
      </c>
      <c r="B86" s="3" t="str">
        <f>Matchschema!B81</f>
        <v>32-delsfinal</v>
      </c>
      <c r="C86" s="3">
        <f>Matchschema!C81</f>
        <v>0</v>
      </c>
      <c r="D86" s="4">
        <f>Matchschema!D81</f>
        <v>46204.75</v>
      </c>
      <c r="E86" s="3" t="str">
        <f>Matchschema!E81</f>
        <v>18:00</v>
      </c>
      <c r="F86" s="3" t="str">
        <f>Matchschema!H81</f>
        <v>Winner L</v>
      </c>
      <c r="G86" s="3" t="str">
        <f>Matchschema!I81</f>
        <v>Best 3rd (E/H/I/J/K)</v>
      </c>
      <c r="H86" s="3" t="str">
        <f>Matchschema!J81</f>
        <v>Mercedes-Benz Stadium, Atlanta</v>
      </c>
      <c r="I86" s="5"/>
      <c r="J86" s="5"/>
      <c r="K86" s="6" t="str">
        <f t="shared" si="2"/>
        <v/>
      </c>
      <c r="L86" s="8" t="str">
        <f>IF(Matchschema!$K81="","",IF(AND(I86=Matchschema!$K81,J86=Matchschema!$L81),Regler!$B$4,IF(K86=Matchschema!$M81,Regler!$B$5,0)))</f>
        <v/>
      </c>
      <c r="M86" s="3"/>
    </row>
    <row r="87" spans="1:13" ht="15">
      <c r="A87" s="3">
        <f>Matchschema!A82</f>
        <v>81</v>
      </c>
      <c r="B87" s="3" t="str">
        <f>Matchschema!B82</f>
        <v>32-delsfinal</v>
      </c>
      <c r="C87" s="3">
        <f>Matchschema!C82</f>
        <v>0</v>
      </c>
      <c r="D87" s="4">
        <f>Matchschema!D82</f>
        <v>46204.916666666664</v>
      </c>
      <c r="E87" s="3" t="str">
        <f>Matchschema!E82</f>
        <v>22:00</v>
      </c>
      <c r="F87" s="3" t="str">
        <f>Matchschema!H82</f>
        <v>Winner G</v>
      </c>
      <c r="G87" s="3" t="str">
        <f>Matchschema!I82</f>
        <v>Best 3rd (A/E/H/I/J)</v>
      </c>
      <c r="H87" s="3" t="str">
        <f>Matchschema!J82</f>
        <v>Lumen Field, Seattle</v>
      </c>
      <c r="I87" s="5"/>
      <c r="J87" s="5"/>
      <c r="K87" s="6" t="str">
        <f t="shared" si="2"/>
        <v/>
      </c>
      <c r="L87" s="8" t="str">
        <f>IF(Matchschema!$K82="","",IF(AND(I87=Matchschema!$K82,J87=Matchschema!$L82),Regler!$B$4,IF(K87=Matchschema!$M82,Regler!$B$5,0)))</f>
        <v/>
      </c>
      <c r="M87" s="3"/>
    </row>
    <row r="88" spans="1:13" ht="15">
      <c r="A88" s="3">
        <f>Matchschema!A83</f>
        <v>82</v>
      </c>
      <c r="B88" s="3" t="str">
        <f>Matchschema!B83</f>
        <v>32-delsfinal</v>
      </c>
      <c r="C88" s="3">
        <f>Matchschema!C83</f>
        <v>0</v>
      </c>
      <c r="D88" s="4">
        <f>Matchschema!D83</f>
        <v>46205.083333333336</v>
      </c>
      <c r="E88" s="3" t="str">
        <f>Matchschema!E83</f>
        <v>02:00</v>
      </c>
      <c r="F88" s="3" t="str">
        <f>Matchschema!H83</f>
        <v>Winner D</v>
      </c>
      <c r="G88" s="3" t="str">
        <f>Matchschema!I83</f>
        <v>Best 3rd (B/E/F/I/J)</v>
      </c>
      <c r="H88" s="3" t="str">
        <f>Matchschema!J83</f>
        <v>Levi’s Stadium, Santa Clara</v>
      </c>
      <c r="I88" s="5"/>
      <c r="J88" s="5"/>
      <c r="K88" s="6" t="str">
        <f t="shared" si="2"/>
        <v/>
      </c>
      <c r="L88" s="8" t="str">
        <f>IF(Matchschema!$K83="","",IF(AND(I88=Matchschema!$K83,J88=Matchschema!$L83),Regler!$B$4,IF(K88=Matchschema!$M83,Regler!$B$5,0)))</f>
        <v/>
      </c>
      <c r="M88" s="3"/>
    </row>
    <row r="89" spans="1:13" ht="15">
      <c r="A89" s="3">
        <f>Matchschema!A84</f>
        <v>83</v>
      </c>
      <c r="B89" s="3" t="str">
        <f>Matchschema!B84</f>
        <v>32-delsfinal</v>
      </c>
      <c r="C89" s="3">
        <f>Matchschema!C84</f>
        <v>0</v>
      </c>
      <c r="D89" s="4">
        <f>Matchschema!D84</f>
        <v>46205.875</v>
      </c>
      <c r="E89" s="3" t="str">
        <f>Matchschema!E84</f>
        <v>21:00</v>
      </c>
      <c r="F89" s="3" t="str">
        <f>Matchschema!H84</f>
        <v>Winner H</v>
      </c>
      <c r="G89" s="3" t="str">
        <f>Matchschema!I84</f>
        <v>Runner-up J</v>
      </c>
      <c r="H89" s="3" t="str">
        <f>Matchschema!J84</f>
        <v>SoFi Stadium, Inglewood</v>
      </c>
      <c r="I89" s="5"/>
      <c r="J89" s="5"/>
      <c r="K89" s="6" t="str">
        <f t="shared" si="2"/>
        <v/>
      </c>
      <c r="L89" s="8" t="str">
        <f>IF(Matchschema!$K84="","",IF(AND(I89=Matchschema!$K84,J89=Matchschema!$L84),Regler!$B$4,IF(K89=Matchschema!$M84,Regler!$B$5,0)))</f>
        <v/>
      </c>
      <c r="M89" s="3"/>
    </row>
    <row r="90" spans="1:13" ht="15">
      <c r="A90" s="3">
        <f>Matchschema!A85</f>
        <v>84</v>
      </c>
      <c r="B90" s="3" t="str">
        <f>Matchschema!B85</f>
        <v>32-delsfinal</v>
      </c>
      <c r="C90" s="3">
        <f>Matchschema!C85</f>
        <v>0</v>
      </c>
      <c r="D90" s="4">
        <f>Matchschema!D85</f>
        <v>46206.041666666664</v>
      </c>
      <c r="E90" s="3" t="str">
        <f>Matchschema!E85</f>
        <v>01:00</v>
      </c>
      <c r="F90" s="3" t="str">
        <f>Matchschema!H85</f>
        <v>Runner-up K</v>
      </c>
      <c r="G90" s="3" t="str">
        <f>Matchschema!I85</f>
        <v>Runner-up L</v>
      </c>
      <c r="H90" s="3" t="str">
        <f>Matchschema!J85</f>
        <v>BMO Field, Toronto</v>
      </c>
      <c r="I90" s="5"/>
      <c r="J90" s="5"/>
      <c r="K90" s="6" t="str">
        <f t="shared" si="2"/>
        <v/>
      </c>
      <c r="L90" s="8" t="str">
        <f>IF(Matchschema!$K85="","",IF(AND(I90=Matchschema!$K85,J90=Matchschema!$L85),Regler!$B$4,IF(K90=Matchschema!$M85,Regler!$B$5,0)))</f>
        <v/>
      </c>
      <c r="M90" s="3"/>
    </row>
    <row r="91" spans="1:13" ht="15">
      <c r="A91" s="3">
        <f>Matchschema!A86</f>
        <v>85</v>
      </c>
      <c r="B91" s="3" t="str">
        <f>Matchschema!B86</f>
        <v>32-delsfinal</v>
      </c>
      <c r="C91" s="3">
        <f>Matchschema!C86</f>
        <v>0</v>
      </c>
      <c r="D91" s="4">
        <f>Matchschema!D86</f>
        <v>46206.208333333336</v>
      </c>
      <c r="E91" s="3" t="str">
        <f>Matchschema!E86</f>
        <v>05:00</v>
      </c>
      <c r="F91" s="3" t="str">
        <f>Matchschema!H86</f>
        <v>Winner B</v>
      </c>
      <c r="G91" s="3" t="str">
        <f>Matchschema!I86</f>
        <v>Best 3rd (E/F/G/I/J)</v>
      </c>
      <c r="H91" s="3" t="str">
        <f>Matchschema!J86</f>
        <v>BC Place, Vancouver</v>
      </c>
      <c r="I91" s="5"/>
      <c r="J91" s="5"/>
      <c r="K91" s="6" t="str">
        <f t="shared" si="2"/>
        <v/>
      </c>
      <c r="L91" s="8" t="str">
        <f>IF(Matchschema!$K86="","",IF(AND(I91=Matchschema!$K86,J91=Matchschema!$L86),Regler!$B$4,IF(K91=Matchschema!$M86,Regler!$B$5,0)))</f>
        <v/>
      </c>
      <c r="M91" s="3"/>
    </row>
    <row r="92" spans="1:13" ht="15">
      <c r="A92" s="3">
        <f>Matchschema!A87</f>
        <v>86</v>
      </c>
      <c r="B92" s="3" t="str">
        <f>Matchschema!B87</f>
        <v>32-delsfinal</v>
      </c>
      <c r="C92" s="3">
        <f>Matchschema!C87</f>
        <v>0</v>
      </c>
      <c r="D92" s="4">
        <f>Matchschema!D87</f>
        <v>46206.833333333336</v>
      </c>
      <c r="E92" s="3" t="str">
        <f>Matchschema!E87</f>
        <v>20:00</v>
      </c>
      <c r="F92" s="3" t="str">
        <f>Matchschema!H87</f>
        <v>Runner-up D</v>
      </c>
      <c r="G92" s="3" t="str">
        <f>Matchschema!I87</f>
        <v>Runner-up G</v>
      </c>
      <c r="H92" s="3" t="str">
        <f>Matchschema!J87</f>
        <v>AT&amp;T Stadium, Arlington</v>
      </c>
      <c r="I92" s="5"/>
      <c r="J92" s="5"/>
      <c r="K92" s="6" t="str">
        <f t="shared" si="2"/>
        <v/>
      </c>
      <c r="L92" s="8" t="str">
        <f>IF(Matchschema!$K87="","",IF(AND(I92=Matchschema!$K87,J92=Matchschema!$L87),Regler!$B$4,IF(K92=Matchschema!$M87,Regler!$B$5,0)))</f>
        <v/>
      </c>
      <c r="M92" s="3"/>
    </row>
    <row r="93" spans="1:13" ht="15">
      <c r="A93" s="3">
        <f>Matchschema!A88</f>
        <v>87</v>
      </c>
      <c r="B93" s="3" t="str">
        <f>Matchschema!B88</f>
        <v>32-delsfinal</v>
      </c>
      <c r="C93" s="3">
        <f>Matchschema!C88</f>
        <v>0</v>
      </c>
      <c r="D93" s="4">
        <f>Matchschema!D88</f>
        <v>46207</v>
      </c>
      <c r="E93" s="3" t="str">
        <f>Matchschema!E88</f>
        <v>00:00</v>
      </c>
      <c r="F93" s="3" t="str">
        <f>Matchschema!H88</f>
        <v>Winner J</v>
      </c>
      <c r="G93" s="3" t="str">
        <f>Matchschema!I88</f>
        <v>Runner-up H</v>
      </c>
      <c r="H93" s="3" t="str">
        <f>Matchschema!J88</f>
        <v>Hard Rock Stadium, Miami Gardens</v>
      </c>
      <c r="I93" s="5"/>
      <c r="J93" s="5"/>
      <c r="K93" s="6" t="str">
        <f t="shared" si="2"/>
        <v/>
      </c>
      <c r="L93" s="8" t="str">
        <f>IF(Matchschema!$K88="","",IF(AND(I93=Matchschema!$K88,J93=Matchschema!$L88),Regler!$B$4,IF(K93=Matchschema!$M88,Regler!$B$5,0)))</f>
        <v/>
      </c>
      <c r="M93" s="3"/>
    </row>
    <row r="94" spans="1:13" ht="15">
      <c r="A94" s="3">
        <f>Matchschema!A89</f>
        <v>88</v>
      </c>
      <c r="B94" s="3" t="str">
        <f>Matchschema!B89</f>
        <v>32-delsfinal</v>
      </c>
      <c r="C94" s="3">
        <f>Matchschema!C89</f>
        <v>0</v>
      </c>
      <c r="D94" s="4">
        <f>Matchschema!D89</f>
        <v>46207.145833333336</v>
      </c>
      <c r="E94" s="3" t="str">
        <f>Matchschema!E89</f>
        <v>03:30</v>
      </c>
      <c r="F94" s="3" t="str">
        <f>Matchschema!H89</f>
        <v>Winner K</v>
      </c>
      <c r="G94" s="3" t="str">
        <f>Matchschema!I89</f>
        <v>Best 3rd (D/E/I/J/L)</v>
      </c>
      <c r="H94" s="3" t="str">
        <f>Matchschema!J89</f>
        <v>Arrowhead Stadium, Kansas City</v>
      </c>
      <c r="I94" s="5"/>
      <c r="J94" s="5"/>
      <c r="K94" s="6" t="str">
        <f t="shared" si="2"/>
        <v/>
      </c>
      <c r="L94" s="8" t="str">
        <f>IF(Matchschema!$K89="","",IF(AND(I94=Matchschema!$K89,J94=Matchschema!$L89),Regler!$B$4,IF(K94=Matchschema!$M89,Regler!$B$5,0)))</f>
        <v/>
      </c>
      <c r="M94" s="3"/>
    </row>
    <row r="95" spans="1:13" ht="15">
      <c r="A95" s="3">
        <f>Matchschema!A90</f>
        <v>89</v>
      </c>
      <c r="B95" s="3" t="str">
        <f>Matchschema!B90</f>
        <v>Åttondelsfinal</v>
      </c>
      <c r="C95" s="3">
        <f>Matchschema!C90</f>
        <v>0</v>
      </c>
      <c r="D95" s="4">
        <f>Matchschema!D90</f>
        <v>46207.791666666664</v>
      </c>
      <c r="E95" s="3" t="str">
        <f>Matchschema!E90</f>
        <v>19:00</v>
      </c>
      <c r="F95" s="3" t="str">
        <f>Matchschema!H90</f>
        <v>Winner Match 73</v>
      </c>
      <c r="G95" s="3" t="str">
        <f>Matchschema!I90</f>
        <v>Winner Match 75</v>
      </c>
      <c r="H95" s="3" t="str">
        <f>Matchschema!J90</f>
        <v>NRG Stadium, Houston</v>
      </c>
      <c r="I95" s="5"/>
      <c r="J95" s="5"/>
      <c r="K95" s="6" t="str">
        <f t="shared" si="2"/>
        <v/>
      </c>
      <c r="L95" s="8" t="str">
        <f>IF(Matchschema!$K90="","",IF(AND(I95=Matchschema!$K90,J95=Matchschema!$L90),Regler!$B$4,IF(K95=Matchschema!$M90,Regler!$B$5,0)))</f>
        <v/>
      </c>
      <c r="M95" s="3"/>
    </row>
    <row r="96" spans="1:13" ht="15">
      <c r="A96" s="3">
        <f>Matchschema!A91</f>
        <v>90</v>
      </c>
      <c r="B96" s="3" t="str">
        <f>Matchschema!B91</f>
        <v>Åttondelsfinal</v>
      </c>
      <c r="C96" s="3">
        <f>Matchschema!C91</f>
        <v>0</v>
      </c>
      <c r="D96" s="4">
        <f>Matchschema!D91</f>
        <v>46207.958333333336</v>
      </c>
      <c r="E96" s="3" t="str">
        <f>Matchschema!E91</f>
        <v>23:00</v>
      </c>
      <c r="F96" s="3" t="str">
        <f>Matchschema!H91</f>
        <v>Winner Match 74</v>
      </c>
      <c r="G96" s="3" t="str">
        <f>Matchschema!I91</f>
        <v>Winner Match 77</v>
      </c>
      <c r="H96" s="3" t="str">
        <f>Matchschema!J91</f>
        <v>Lincoln Financial Field, Philadelphia</v>
      </c>
      <c r="I96" s="5"/>
      <c r="J96" s="5"/>
      <c r="K96" s="6" t="str">
        <f t="shared" si="2"/>
        <v/>
      </c>
      <c r="L96" s="8" t="str">
        <f>IF(Matchschema!$K91="","",IF(AND(I96=Matchschema!$K91,J96=Matchschema!$L91),Regler!$B$4,IF(K96=Matchschema!$M91,Regler!$B$5,0)))</f>
        <v/>
      </c>
      <c r="M96" s="3"/>
    </row>
    <row r="97" spans="1:13" ht="15">
      <c r="A97" s="3">
        <f>Matchschema!A92</f>
        <v>91</v>
      </c>
      <c r="B97" s="3" t="str">
        <f>Matchschema!B92</f>
        <v>Åttondelsfinal</v>
      </c>
      <c r="C97" s="3">
        <f>Matchschema!C92</f>
        <v>0</v>
      </c>
      <c r="D97" s="4">
        <f>Matchschema!D92</f>
        <v>46208.916666666664</v>
      </c>
      <c r="E97" s="3" t="str">
        <f>Matchschema!E92</f>
        <v>22:00</v>
      </c>
      <c r="F97" s="3" t="str">
        <f>Matchschema!H92</f>
        <v>Winner Match 76</v>
      </c>
      <c r="G97" s="3" t="str">
        <f>Matchschema!I92</f>
        <v>Winner Match 78</v>
      </c>
      <c r="H97" s="3" t="str">
        <f>Matchschema!J92</f>
        <v>MetLife Stadium, East Rutherford</v>
      </c>
      <c r="I97" s="5"/>
      <c r="J97" s="5"/>
      <c r="K97" s="6" t="str">
        <f t="shared" si="2"/>
        <v/>
      </c>
      <c r="L97" s="8" t="str">
        <f>IF(Matchschema!$K92="","",IF(AND(I97=Matchschema!$K92,J97=Matchschema!$L92),Regler!$B$4,IF(K97=Matchschema!$M92,Regler!$B$5,0)))</f>
        <v/>
      </c>
      <c r="M97" s="3"/>
    </row>
    <row r="98" spans="1:13" ht="15">
      <c r="A98" s="3">
        <f>Matchschema!A93</f>
        <v>92</v>
      </c>
      <c r="B98" s="3" t="str">
        <f>Matchschema!B93</f>
        <v>Åttondelsfinal</v>
      </c>
      <c r="C98" s="3">
        <f>Matchschema!C93</f>
        <v>0</v>
      </c>
      <c r="D98" s="4">
        <f>Matchschema!D93</f>
        <v>46209.083333333336</v>
      </c>
      <c r="E98" s="3" t="str">
        <f>Matchschema!E93</f>
        <v>02:00</v>
      </c>
      <c r="F98" s="3" t="str">
        <f>Matchschema!H93</f>
        <v>Winner Match 79</v>
      </c>
      <c r="G98" s="3" t="str">
        <f>Matchschema!I93</f>
        <v>Winner Match 80</v>
      </c>
      <c r="H98" s="3" t="str">
        <f>Matchschema!J93</f>
        <v>Estadio Azteca, Mexico City</v>
      </c>
      <c r="I98" s="5"/>
      <c r="J98" s="5"/>
      <c r="K98" s="6" t="str">
        <f t="shared" si="2"/>
        <v/>
      </c>
      <c r="L98" s="8" t="str">
        <f>IF(Matchschema!$K93="","",IF(AND(I98=Matchschema!$K93,J98=Matchschema!$L93),Regler!$B$4,IF(K98=Matchschema!$M93,Regler!$B$5,0)))</f>
        <v/>
      </c>
      <c r="M98" s="3"/>
    </row>
    <row r="99" spans="1:13" ht="15">
      <c r="A99" s="3">
        <f>Matchschema!A94</f>
        <v>93</v>
      </c>
      <c r="B99" s="3" t="str">
        <f>Matchschema!B94</f>
        <v>Åttondelsfinal</v>
      </c>
      <c r="C99" s="3">
        <f>Matchschema!C94</f>
        <v>0</v>
      </c>
      <c r="D99" s="4">
        <f>Matchschema!D94</f>
        <v>46209.875</v>
      </c>
      <c r="E99" s="3" t="str">
        <f>Matchschema!E94</f>
        <v>21:00</v>
      </c>
      <c r="F99" s="3" t="str">
        <f>Matchschema!H94</f>
        <v>Winner Match 83</v>
      </c>
      <c r="G99" s="3" t="str">
        <f>Matchschema!I94</f>
        <v>Winner Match 84</v>
      </c>
      <c r="H99" s="3" t="str">
        <f>Matchschema!J94</f>
        <v>AT&amp;T Stadium, Arlington</v>
      </c>
      <c r="I99" s="5"/>
      <c r="J99" s="5"/>
      <c r="K99" s="6" t="str">
        <f t="shared" si="2"/>
        <v/>
      </c>
      <c r="L99" s="8" t="str">
        <f>IF(Matchschema!$K94="","",IF(AND(I99=Matchschema!$K94,J99=Matchschema!$L94),Regler!$B$4,IF(K99=Matchschema!$M94,Regler!$B$5,0)))</f>
        <v/>
      </c>
      <c r="M99" s="3"/>
    </row>
    <row r="100" spans="1:13" ht="15">
      <c r="A100" s="3">
        <f>Matchschema!A95</f>
        <v>94</v>
      </c>
      <c r="B100" s="3" t="str">
        <f>Matchschema!B95</f>
        <v>Åttondelsfinal</v>
      </c>
      <c r="C100" s="3">
        <f>Matchschema!C95</f>
        <v>0</v>
      </c>
      <c r="D100" s="4">
        <f>Matchschema!D95</f>
        <v>46210.083333333336</v>
      </c>
      <c r="E100" s="3" t="str">
        <f>Matchschema!E95</f>
        <v>02:00</v>
      </c>
      <c r="F100" s="3" t="str">
        <f>Matchschema!H95</f>
        <v>Winner Match 81</v>
      </c>
      <c r="G100" s="3" t="str">
        <f>Matchschema!I95</f>
        <v>Winner Match 82</v>
      </c>
      <c r="H100" s="3" t="str">
        <f>Matchschema!J95</f>
        <v>Lumen Field, Seattle</v>
      </c>
      <c r="I100" s="5"/>
      <c r="J100" s="5"/>
      <c r="K100" s="6" t="str">
        <f t="shared" si="2"/>
        <v/>
      </c>
      <c r="L100" s="8" t="str">
        <f>IF(Matchschema!$K95="","",IF(AND(I100=Matchschema!$K95,J100=Matchschema!$L95),Regler!$B$4,IF(K100=Matchschema!$M95,Regler!$B$5,0)))</f>
        <v/>
      </c>
      <c r="M100" s="3"/>
    </row>
    <row r="101" spans="1:13" ht="15">
      <c r="A101" s="3">
        <f>Matchschema!A96</f>
        <v>95</v>
      </c>
      <c r="B101" s="3" t="str">
        <f>Matchschema!B96</f>
        <v>Åttondelsfinal</v>
      </c>
      <c r="C101" s="3">
        <f>Matchschema!C96</f>
        <v>0</v>
      </c>
      <c r="D101" s="4">
        <f>Matchschema!D96</f>
        <v>46210.75</v>
      </c>
      <c r="E101" s="3" t="str">
        <f>Matchschema!E96</f>
        <v>18:00</v>
      </c>
      <c r="F101" s="3" t="str">
        <f>Matchschema!H96</f>
        <v>Winner Match 86</v>
      </c>
      <c r="G101" s="3" t="str">
        <f>Matchschema!I96</f>
        <v>Winner Match 88</v>
      </c>
      <c r="H101" s="3" t="str">
        <f>Matchschema!J96</f>
        <v>Mercedes-Benz Stadium, Atlanta</v>
      </c>
      <c r="I101" s="5"/>
      <c r="J101" s="5"/>
      <c r="K101" s="6" t="str">
        <f t="shared" si="2"/>
        <v/>
      </c>
      <c r="L101" s="8" t="str">
        <f>IF(Matchschema!$K96="","",IF(AND(I101=Matchschema!$K96,J101=Matchschema!$L96),Regler!$B$4,IF(K101=Matchschema!$M96,Regler!$B$5,0)))</f>
        <v/>
      </c>
      <c r="M101" s="3"/>
    </row>
    <row r="102" spans="1:13" ht="15">
      <c r="A102" s="3">
        <f>Matchschema!A97</f>
        <v>96</v>
      </c>
      <c r="B102" s="3" t="str">
        <f>Matchschema!B97</f>
        <v>Åttondelsfinal</v>
      </c>
      <c r="C102" s="3">
        <f>Matchschema!C97</f>
        <v>0</v>
      </c>
      <c r="D102" s="4">
        <f>Matchschema!D97</f>
        <v>46210.916666666664</v>
      </c>
      <c r="E102" s="3" t="str">
        <f>Matchschema!E97</f>
        <v>22:00</v>
      </c>
      <c r="F102" s="3" t="str">
        <f>Matchschema!H97</f>
        <v>Winner Match 85</v>
      </c>
      <c r="G102" s="3" t="str">
        <f>Matchschema!I97</f>
        <v>Winner Match 87</v>
      </c>
      <c r="H102" s="3" t="str">
        <f>Matchschema!J97</f>
        <v>BC Place, Vancouver</v>
      </c>
      <c r="I102" s="5"/>
      <c r="J102" s="5"/>
      <c r="K102" s="6" t="str">
        <f t="shared" si="2"/>
        <v/>
      </c>
      <c r="L102" s="8" t="str">
        <f>IF(Matchschema!$K97="","",IF(AND(I102=Matchschema!$K97,J102=Matchschema!$L97),Regler!$B$4,IF(K102=Matchschema!$M97,Regler!$B$5,0)))</f>
        <v/>
      </c>
      <c r="M102" s="3"/>
    </row>
    <row r="103" spans="1:13" ht="15">
      <c r="A103" s="3">
        <f>Matchschema!A98</f>
        <v>97</v>
      </c>
      <c r="B103" s="3" t="str">
        <f>Matchschema!B98</f>
        <v>Kvartsfinal</v>
      </c>
      <c r="C103" s="3">
        <f>Matchschema!C98</f>
        <v>0</v>
      </c>
      <c r="D103" s="4">
        <f>Matchschema!D98</f>
        <v>46212.916666666664</v>
      </c>
      <c r="E103" s="3" t="str">
        <f>Matchschema!E98</f>
        <v>22:00</v>
      </c>
      <c r="F103" s="3" t="str">
        <f>Matchschema!H98</f>
        <v>Winner Match 89</v>
      </c>
      <c r="G103" s="3" t="str">
        <f>Matchschema!I98</f>
        <v>Winner Match 90</v>
      </c>
      <c r="H103" s="3" t="str">
        <f>Matchschema!J98</f>
        <v>Gillette Stadium, Foxborough</v>
      </c>
      <c r="I103" s="5"/>
      <c r="J103" s="5"/>
      <c r="K103" s="6" t="str">
        <f t="shared" ref="K103:K110" si="3">IF(OR(I103="",J103=""),"",IF(I103&gt;J103,"1",IF(I103=J103,"X","2")))</f>
        <v/>
      </c>
      <c r="L103" s="8" t="str">
        <f>IF(Matchschema!$K98="","",IF(AND(I103=Matchschema!$K98,J103=Matchschema!$L98),Regler!$B$4,IF(K103=Matchschema!$M98,Regler!$B$5,0)))</f>
        <v/>
      </c>
      <c r="M103" s="3"/>
    </row>
    <row r="104" spans="1:13" ht="15">
      <c r="A104" s="3">
        <f>Matchschema!A99</f>
        <v>98</v>
      </c>
      <c r="B104" s="3" t="str">
        <f>Matchschema!B99</f>
        <v>Kvartsfinal</v>
      </c>
      <c r="C104" s="3">
        <f>Matchschema!C99</f>
        <v>0</v>
      </c>
      <c r="D104" s="4">
        <f>Matchschema!D99</f>
        <v>46213.875</v>
      </c>
      <c r="E104" s="3" t="str">
        <f>Matchschema!E99</f>
        <v>21:00</v>
      </c>
      <c r="F104" s="3" t="str">
        <f>Matchschema!H99</f>
        <v>Winner Match 93</v>
      </c>
      <c r="G104" s="3" t="str">
        <f>Matchschema!I99</f>
        <v>Winner Match 94</v>
      </c>
      <c r="H104" s="3" t="str">
        <f>Matchschema!J99</f>
        <v>SoFi Stadium, Inglewood</v>
      </c>
      <c r="I104" s="5"/>
      <c r="J104" s="5"/>
      <c r="K104" s="6" t="str">
        <f t="shared" si="3"/>
        <v/>
      </c>
      <c r="L104" s="8" t="str">
        <f>IF(Matchschema!$K99="","",IF(AND(I104=Matchschema!$K99,J104=Matchschema!$L99),Regler!$B$4,IF(K104=Matchschema!$M99,Regler!$B$5,0)))</f>
        <v/>
      </c>
      <c r="M104" s="3"/>
    </row>
    <row r="105" spans="1:13" ht="15">
      <c r="A105" s="3">
        <f>Matchschema!A100</f>
        <v>99</v>
      </c>
      <c r="B105" s="3" t="str">
        <f>Matchschema!B100</f>
        <v>Kvartsfinal</v>
      </c>
      <c r="C105" s="3">
        <f>Matchschema!C100</f>
        <v>0</v>
      </c>
      <c r="D105" s="4">
        <f>Matchschema!D100</f>
        <v>46214.958333333336</v>
      </c>
      <c r="E105" s="3" t="str">
        <f>Matchschema!E100</f>
        <v>23:00</v>
      </c>
      <c r="F105" s="3" t="str">
        <f>Matchschema!H100</f>
        <v>Winner Match 91</v>
      </c>
      <c r="G105" s="3" t="str">
        <f>Matchschema!I100</f>
        <v>Winner Match 92</v>
      </c>
      <c r="H105" s="3" t="str">
        <f>Matchschema!J100</f>
        <v>Hard Rock Stadium, Miami Gardens</v>
      </c>
      <c r="I105" s="5"/>
      <c r="J105" s="5"/>
      <c r="K105" s="6" t="str">
        <f t="shared" si="3"/>
        <v/>
      </c>
      <c r="L105" s="8" t="str">
        <f>IF(Matchschema!$K100="","",IF(AND(I105=Matchschema!$K100,J105=Matchschema!$L100),Regler!$B$4,IF(K105=Matchschema!$M100,Regler!$B$5,0)))</f>
        <v/>
      </c>
      <c r="M105" s="3"/>
    </row>
    <row r="106" spans="1:13" ht="15">
      <c r="A106" s="3">
        <f>Matchschema!A101</f>
        <v>100</v>
      </c>
      <c r="B106" s="3" t="str">
        <f>Matchschema!B101</f>
        <v>Kvartsfinal</v>
      </c>
      <c r="C106" s="3">
        <f>Matchschema!C101</f>
        <v>0</v>
      </c>
      <c r="D106" s="4">
        <f>Matchschema!D101</f>
        <v>46215.125</v>
      </c>
      <c r="E106" s="3" t="str">
        <f>Matchschema!E101</f>
        <v>03:00</v>
      </c>
      <c r="F106" s="3" t="str">
        <f>Matchschema!H101</f>
        <v>Winner Match 95</v>
      </c>
      <c r="G106" s="3" t="str">
        <f>Matchschema!I101</f>
        <v>Winner Match 96</v>
      </c>
      <c r="H106" s="3" t="str">
        <f>Matchschema!J101</f>
        <v>Arrowhead Stadium, Kansas City</v>
      </c>
      <c r="I106" s="5"/>
      <c r="J106" s="5"/>
      <c r="K106" s="6" t="str">
        <f t="shared" si="3"/>
        <v/>
      </c>
      <c r="L106" s="8" t="str">
        <f>IF(Matchschema!$K101="","",IF(AND(I106=Matchschema!$K101,J106=Matchschema!$L101),Regler!$B$4,IF(K106=Matchschema!$M101,Regler!$B$5,0)))</f>
        <v/>
      </c>
      <c r="M106" s="3"/>
    </row>
    <row r="107" spans="1:13" ht="15">
      <c r="A107" s="3">
        <f>Matchschema!A102</f>
        <v>101</v>
      </c>
      <c r="B107" s="3" t="str">
        <f>Matchschema!B102</f>
        <v>Semifinal</v>
      </c>
      <c r="C107" s="3">
        <f>Matchschema!C102</f>
        <v>0</v>
      </c>
      <c r="D107" s="4">
        <f>Matchschema!D102</f>
        <v>46217.875</v>
      </c>
      <c r="E107" s="3" t="str">
        <f>Matchschema!E102</f>
        <v>21:00</v>
      </c>
      <c r="F107" s="3" t="str">
        <f>Matchschema!H102</f>
        <v>Winner Match 97</v>
      </c>
      <c r="G107" s="3" t="str">
        <f>Matchschema!I102</f>
        <v>Winner Match 98</v>
      </c>
      <c r="H107" s="3" t="str">
        <f>Matchschema!J102</f>
        <v>AT&amp;T Stadium, Arlington (Dallas)</v>
      </c>
      <c r="I107" s="5"/>
      <c r="J107" s="5"/>
      <c r="K107" s="6" t="str">
        <f t="shared" si="3"/>
        <v/>
      </c>
      <c r="L107" s="8" t="str">
        <f>IF(Matchschema!$K102="","",IF(AND(I107=Matchschema!$K102,J107=Matchschema!$L102),Regler!$B$4,IF(K107=Matchschema!$M102,Regler!$B$5,0)))</f>
        <v/>
      </c>
      <c r="M107" s="3"/>
    </row>
    <row r="108" spans="1:13" ht="15">
      <c r="A108" s="3">
        <f>Matchschema!A103</f>
        <v>102</v>
      </c>
      <c r="B108" s="3" t="str">
        <f>Matchschema!B103</f>
        <v>Semifinal</v>
      </c>
      <c r="C108" s="3">
        <f>Matchschema!C103</f>
        <v>0</v>
      </c>
      <c r="D108" s="4">
        <f>Matchschema!D103</f>
        <v>46218.875</v>
      </c>
      <c r="E108" s="3" t="str">
        <f>Matchschema!E103</f>
        <v>21:00</v>
      </c>
      <c r="F108" s="3" t="str">
        <f>Matchschema!H103</f>
        <v>Winner Match 99</v>
      </c>
      <c r="G108" s="3" t="str">
        <f>Matchschema!I103</f>
        <v>Winner Match 100</v>
      </c>
      <c r="H108" s="3" t="str">
        <f>Matchschema!J103</f>
        <v>Mercedes-Benz Stadium, Atlanta</v>
      </c>
      <c r="I108" s="5"/>
      <c r="J108" s="5"/>
      <c r="K108" s="6" t="str">
        <f t="shared" si="3"/>
        <v/>
      </c>
      <c r="L108" s="8" t="str">
        <f>IF(Matchschema!$K103="","",IF(AND(I108=Matchschema!$K103,J108=Matchschema!$L103),Regler!$B$4,IF(K108=Matchschema!$M103,Regler!$B$5,0)))</f>
        <v/>
      </c>
      <c r="M108" s="3"/>
    </row>
    <row r="109" spans="1:13" ht="15">
      <c r="A109" s="3">
        <f>Matchschema!A104</f>
        <v>103</v>
      </c>
      <c r="B109" s="3" t="str">
        <f>Matchschema!B104</f>
        <v>Bronsmatch</v>
      </c>
      <c r="C109" s="3">
        <f>Matchschema!C104</f>
        <v>0</v>
      </c>
      <c r="D109" s="4">
        <f>Matchschema!D104</f>
        <v>46221.958333333336</v>
      </c>
      <c r="E109" s="3" t="str">
        <f>Matchschema!E104</f>
        <v>23:00</v>
      </c>
      <c r="F109" s="3" t="str">
        <f>Matchschema!H104</f>
        <v>Loser Match 101</v>
      </c>
      <c r="G109" s="3" t="str">
        <f>Matchschema!I104</f>
        <v>Loser Match 102</v>
      </c>
      <c r="H109" s="3" t="str">
        <f>Matchschema!J104</f>
        <v>Hard Rock Stadium, Miami Gardens</v>
      </c>
      <c r="I109" s="5"/>
      <c r="J109" s="5"/>
      <c r="K109" s="6" t="str">
        <f t="shared" si="3"/>
        <v/>
      </c>
      <c r="L109" s="8" t="str">
        <f>IF(Matchschema!$K104="","",IF(AND(I109=Matchschema!$K104,J109=Matchschema!$L104),Regler!$B$4,IF(K109=Matchschema!$M104,Regler!$B$5,0)))</f>
        <v/>
      </c>
      <c r="M109" s="3"/>
    </row>
    <row r="110" spans="1:13" ht="15">
      <c r="A110" s="3">
        <f>Matchschema!A105</f>
        <v>104</v>
      </c>
      <c r="B110" s="3" t="str">
        <f>Matchschema!B105</f>
        <v>Final</v>
      </c>
      <c r="C110" s="3">
        <f>Matchschema!C105</f>
        <v>0</v>
      </c>
      <c r="D110" s="4">
        <f>Matchschema!D105</f>
        <v>46222.875</v>
      </c>
      <c r="E110" s="3" t="str">
        <f>Matchschema!E105</f>
        <v>21:00</v>
      </c>
      <c r="F110" s="3" t="str">
        <f>Matchschema!H105</f>
        <v>Winner Match 101</v>
      </c>
      <c r="G110" s="3" t="str">
        <f>Matchschema!I105</f>
        <v>Winner Match 102</v>
      </c>
      <c r="H110" s="3" t="str">
        <f>Matchschema!J105</f>
        <v>MetLife Stadium, East Rutherford, NJ</v>
      </c>
      <c r="I110" s="5"/>
      <c r="J110" s="5"/>
      <c r="K110" s="6" t="str">
        <f t="shared" si="3"/>
        <v/>
      </c>
      <c r="L110" s="8" t="str">
        <f>IF(Matchschema!$K105="","",IF(AND(I110=Matchschema!$K105,J110=Matchschema!$L105),Regler!$B$4,IF(K110=Matchschema!$M105,Regler!$B$5,0)))</f>
        <v/>
      </c>
      <c r="M110" s="3"/>
    </row>
  </sheetData>
  <mergeCells count="2">
    <mergeCell ref="A1:M1"/>
    <mergeCell ref="B2:D2"/>
  </mergeCells>
  <dataValidations count="1">
    <dataValidation sqref="I7:J110" xr:uid="{00000000-0002-0000-2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Andreas Nilsson</cp:lastModifiedBy>
  <cp:revision/>
  <dcterms:created xsi:type="dcterms:W3CDTF">2026-06-11T17:19:11Z</dcterms:created>
  <dcterms:modified xsi:type="dcterms:W3CDTF">2026-06-11T20:36:11Z</dcterms:modified>
  <cp:category/>
  <cp:contentStatus/>
</cp:coreProperties>
</file>