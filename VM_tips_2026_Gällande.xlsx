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sheets/sheet30.xml" ContentType="application/vnd.openxmlformats-officedocument.spreadsheetml.worksheet+xml"/>
  <Override PartName="/xl/tables/table26.xml" ContentType="application/vnd.openxmlformats-officedocument.spreadsheetml.table+xml"/>
  <Override PartName="/xl/worksheets/sheet31.xml" ContentType="application/vnd.openxmlformats-officedocument.spreadsheetml.worksheet+xml"/>
  <Override PartName="/xl/tables/table27.xml" ContentType="application/vnd.openxmlformats-officedocument.spreadsheetml.table+xml"/>
  <Override PartName="/xl/worksheets/sheet32.xml" ContentType="application/vnd.openxmlformats-officedocument.spreadsheetml.worksheet+xml"/>
  <Override PartName="/xl/tables/table28.xml" ContentType="application/vnd.openxmlformats-officedocument.spreadsheetml.table+xml"/>
  <Override PartName="/xl/worksheets/sheet33.xml" ContentType="application/vnd.openxmlformats-officedocument.spreadsheetml.worksheet+xml"/>
  <Override PartName="/xl/tables/table29.xml" ContentType="application/vnd.openxmlformats-officedocument.spreadsheetml.table+xml"/>
  <Override PartName="/xl/worksheets/sheet34.xml" ContentType="application/vnd.openxmlformats-officedocument.spreadsheetml.worksheet+xml"/>
  <Override PartName="/xl/tables/table30.xml" ContentType="application/vnd.openxmlformats-officedocument.spreadsheetml.table+xml"/>
  <Override PartName="/xl/worksheets/sheet35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64e2ddbf3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sida" sheetId="1" r:id="Rd4953a6795414105"/>
    <x:sheet xmlns:r="http://schemas.openxmlformats.org/officeDocument/2006/relationships" name="Blad1" sheetId="2" r:id="R5450362f642c47f6"/>
    <x:sheet xmlns:r="http://schemas.openxmlformats.org/officeDocument/2006/relationships" name="Blad2" sheetId="3" r:id="R8d7b9a370e8e42bb"/>
    <x:sheet xmlns:r="http://schemas.openxmlformats.org/officeDocument/2006/relationships" name="Matchschema" sheetId="4" r:id="R053961a4c2e24e25"/>
    <x:sheet xmlns:r="http://schemas.openxmlformats.org/officeDocument/2006/relationships" name="Regler" sheetId="5" r:id="Rf60c8b4efcf9456f"/>
    <x:sheet xmlns:r="http://schemas.openxmlformats.org/officeDocument/2006/relationships" name="Ricardo" sheetId="6" r:id="Rf4732ebd22bf4376"/>
    <x:sheet xmlns:r="http://schemas.openxmlformats.org/officeDocument/2006/relationships" name="Janne" sheetId="7" r:id="Rb88dc5675c5a486b"/>
    <x:sheet xmlns:r="http://schemas.openxmlformats.org/officeDocument/2006/relationships" name="Bosse" sheetId="8" r:id="Re60961ffcfed4de6"/>
    <x:sheet xmlns:r="http://schemas.openxmlformats.org/officeDocument/2006/relationships" name="Stina" sheetId="9" r:id="R49cdfef8f2c144f6"/>
    <x:sheet xmlns:r="http://schemas.openxmlformats.org/officeDocument/2006/relationships" name="Robban" sheetId="10" r:id="Rfaf954ed73d24dd3"/>
    <x:sheet xmlns:r="http://schemas.openxmlformats.org/officeDocument/2006/relationships" name="Chrille" sheetId="11" r:id="Rac4dc921832f4b0a"/>
    <x:sheet xmlns:r="http://schemas.openxmlformats.org/officeDocument/2006/relationships" name="John T." sheetId="12" r:id="R2cdf1d8118e84550"/>
    <x:sheet xmlns:r="http://schemas.openxmlformats.org/officeDocument/2006/relationships" name="Clabbe" sheetId="13" r:id="Rcd1925183ba7403b"/>
    <x:sheet xmlns:r="http://schemas.openxmlformats.org/officeDocument/2006/relationships" name="Dennis" sheetId="14" r:id="R2df37e381da34d42"/>
    <x:sheet xmlns:r="http://schemas.openxmlformats.org/officeDocument/2006/relationships" name="Monfors" sheetId="15" r:id="Rf5e92a7699fa4f32"/>
    <x:sheet xmlns:r="http://schemas.openxmlformats.org/officeDocument/2006/relationships" name="Anders D." sheetId="16" r:id="R102028fd3608421d"/>
    <x:sheet xmlns:r="http://schemas.openxmlformats.org/officeDocument/2006/relationships" name="Evelina" sheetId="17" r:id="Ra0f7bc0a8eab4513"/>
    <x:sheet xmlns:r="http://schemas.openxmlformats.org/officeDocument/2006/relationships" name="Nizze" sheetId="18" r:id="R91415c75fb10490d"/>
    <x:sheet xmlns:r="http://schemas.openxmlformats.org/officeDocument/2006/relationships" name="Sorken" sheetId="19" r:id="R3e163779fdc3492d"/>
    <x:sheet xmlns:r="http://schemas.openxmlformats.org/officeDocument/2006/relationships" name="Peter" sheetId="20" r:id="Refe5a80f8cab4c5e"/>
    <x:sheet xmlns:r="http://schemas.openxmlformats.org/officeDocument/2006/relationships" name="Antonia" sheetId="21" r:id="R0486f73fdc1a4ff1"/>
    <x:sheet xmlns:r="http://schemas.openxmlformats.org/officeDocument/2006/relationships" name="Niklas A." sheetId="22" r:id="R4cba231aad964a68"/>
    <x:sheet xmlns:r="http://schemas.openxmlformats.org/officeDocument/2006/relationships" name="Thomas B." sheetId="23" r:id="R911440852faa4ee2"/>
    <x:sheet xmlns:r="http://schemas.openxmlformats.org/officeDocument/2006/relationships" name="Micke" sheetId="24" r:id="R981841a396b54817"/>
    <x:sheet xmlns:r="http://schemas.openxmlformats.org/officeDocument/2006/relationships" name="Robin" sheetId="25" r:id="Rc89dd31368fa4c16"/>
    <x:sheet xmlns:r="http://schemas.openxmlformats.org/officeDocument/2006/relationships" name="Spelare 21" sheetId="26" r:id="Re776efcbaac04a54"/>
    <x:sheet xmlns:r="http://schemas.openxmlformats.org/officeDocument/2006/relationships" name="Spelare 22" sheetId="27" r:id="Rcb5b165cd70649f8"/>
    <x:sheet xmlns:r="http://schemas.openxmlformats.org/officeDocument/2006/relationships" name="Spelare 23" sheetId="28" r:id="R4c5d3c5d11fc421f"/>
    <x:sheet xmlns:r="http://schemas.openxmlformats.org/officeDocument/2006/relationships" name="Spelare 24" sheetId="29" r:id="Re668e036aa884d20"/>
    <x:sheet xmlns:r="http://schemas.openxmlformats.org/officeDocument/2006/relationships" name="Spelare 25" sheetId="30" r:id="R56c7a50b536345fa"/>
    <x:sheet xmlns:r="http://schemas.openxmlformats.org/officeDocument/2006/relationships" name="Spelare 26" sheetId="31" r:id="Red654c20c3564310"/>
    <x:sheet xmlns:r="http://schemas.openxmlformats.org/officeDocument/2006/relationships" name="Spelare 27" sheetId="32" r:id="R57ce64574b2c4972"/>
    <x:sheet xmlns:r="http://schemas.openxmlformats.org/officeDocument/2006/relationships" name="Spelare 28" sheetId="33" r:id="R23c83053b59d42bd"/>
    <x:sheet xmlns:r="http://schemas.openxmlformats.org/officeDocument/2006/relationships" name="Spelare 29" sheetId="34" r:id="Rf08999de0cc342e6"/>
    <x:sheet xmlns:r="http://schemas.openxmlformats.org/officeDocument/2006/relationships" name="Spelare 30" sheetId="35" r:id="R30254a5551d84dc1"/>
  </x:sheets>
</x:workbook>
</file>

<file path=xl/sharedStrings.xml><?xml version="1.0" encoding="utf-8"?>
<x:sst xmlns:x="http://schemas.openxmlformats.org/spreadsheetml/2006/main">
  <x:si>
    <x:t xml:space="preserve">VM-tips 2026 – Topplista &amp; statistik</x:t>
  </x:si>
  <x:si>
    <x:t xml:space="preserve">Snabbstatus</x:t>
  </x:si>
  <x:si>
    <x:t xml:space="preserve">Topp 10</x:t>
  </x:si>
  <x:si>
    <x:t xml:space="preserve">Matcher totalt</x:t>
  </x:si>
  <x:si>
    <x:t xml:space="preserve">Placering</x:t>
  </x:si>
  <x:si>
    <x:t xml:space="preserve">Namn</x:t>
  </x:si>
  <x:si>
    <x:t xml:space="preserve">Poäng</x:t>
  </x:si>
  <x:si>
    <x:t xml:space="preserve">Exakta</x:t>
  </x:si>
  <x:si>
    <x:t xml:space="preserve">Rätt tecken</x:t>
  </x:si>
  <x:si>
    <x:t xml:space="preserve">Matcher med facit</x:t>
  </x:si>
  <x:si>
    <x:t xml:space="preserve">Antal spelare</x:t>
  </x:si>
  <x:si>
    <x:t xml:space="preserve">Genomsnittspoäng</x:t>
  </x:si>
  <x:si>
    <x:t xml:space="preserve">Högsta poäng</x:t>
  </x:si>
  <x:si>
    <x:t xml:space="preserve">Rank</x:t>
  </x:si>
  <x:si>
    <x:t xml:space="preserve">Flik</x:t>
  </x:si>
  <x:si>
    <x:t xml:space="preserve">Spelare 01</x:t>
  </x:si>
  <x:si>
    <x:t xml:space="preserve">Spelare 02</x:t>
  </x:si>
  <x:si>
    <x:t xml:space="preserve">Spelare 03</x:t>
  </x:si>
  <x:si>
    <x:t xml:space="preserve">Spelare 04</x:t>
  </x:si>
  <x:si>
    <x:t xml:space="preserve">Spelare 05</x:t>
  </x:si>
  <x:si>
    <x:t xml:space="preserve">Spelare 06</x:t>
  </x:si>
  <x:si>
    <x:t xml:space="preserve">Rolig statistik från tipsen</x:t>
  </x:si>
  <x:si>
    <x:t xml:space="preserve">Spelare 07</x:t>
  </x:si>
  <x:si>
    <x:t xml:space="preserve">Nyckeltal</x:t>
  </x:si>
  <x:si>
    <x:t xml:space="preserve">Värde</x:t>
  </x:si>
  <x:si>
    <x:t xml:space="preserve">Populäraste tecknet</x:t>
  </x:si>
  <x:si>
    <x:t xml:space="preserve">Antal</x:t>
  </x:si>
  <x:si>
    <x:t xml:space="preserve">Mest tippade mål totalt</x:t>
  </x:si>
  <x:si>
    <x:t xml:space="preserve">Spelare 08</x:t>
  </x:si>
  <x:si>
    <x:t xml:space="preserve">Antal inlämnade matchtips</x:t>
  </x:si>
  <x:si>
    <x:t xml:space="preserve">1</x:t>
  </x:si>
  <x:si>
    <x:t xml:space="preserve">0</x:t>
  </x:si>
  <x:si>
    <x:t xml:space="preserve">Spelare 09</x:t>
  </x:si>
  <x:si>
    <x:t xml:space="preserve">Snitt tippade mål/match</x:t>
  </x:si>
  <x:si>
    <x:t xml:space="preserve">X</x:t>
  </x:si>
  <x:si>
    <x:t xml:space="preserve">Spelare 10</x:t>
  </x:si>
  <x:si>
    <x:t xml:space="preserve">Hemmatecken tippade</x:t>
  </x:si>
  <x:si>
    <x:t xml:space="preserve">2</x:t>
  </x:si>
  <x:si>
    <x:t xml:space="preserve">Spelare 11</x:t>
  </x:si>
  <x:si>
    <x:t xml:space="preserve">Kryss tippade</x:t>
  </x:si>
  <x:si>
    <x:t xml:space="preserve">3</x:t>
  </x:si>
  <x:si>
    <x:t xml:space="preserve">Spelare 12</x:t>
  </x:si>
  <x:si>
    <x:t xml:space="preserve">Bortatecken tippade</x:t>
  </x:si>
  <x:si>
    <x:t xml:space="preserve">4+</x:t>
  </x:si>
  <x:si>
    <x:t xml:space="preserve">Spelare 13</x:t>
  </x:si>
  <x:si>
    <x:t xml:space="preserve">Spelare 14</x:t>
  </x:si>
  <x:si>
    <x:t xml:space="preserve">Spelare 15</x:t>
  </x:si>
  <x:si>
    <x:t xml:space="preserve">Spelare 16</x:t>
  </x:si>
  <x:si>
    <x:t xml:space="preserve">Spelare 17</x:t>
  </x:si>
  <x:si>
    <x:t xml:space="preserve">Spelare 18</x:t>
  </x:si>
  <x:si>
    <x:t xml:space="preserve">Spelare 19</x:t>
  </x:si>
  <x:si>
    <x:t xml:space="preserve">Spelare 20</x:t>
  </x:si>
  <x:si>
    <x:t xml:space="preserve">Spelare 21</x:t>
  </x:si>
  <x:si>
    <x:t xml:space="preserve">Spelare 22</x:t>
  </x:si>
  <x:si>
    <x:t xml:space="preserve">Spelare 23</x:t>
  </x:si>
  <x:si>
    <x:t xml:space="preserve">Spelare 24</x:t>
  </x:si>
  <x:si>
    <x:t xml:space="preserve">Spelare 25</x:t>
  </x:si>
  <x:si>
    <x:t xml:space="preserve">Spelare 26</x:t>
  </x:si>
  <x:si>
    <x:t xml:space="preserve">Spelare 27</x:t>
  </x:si>
  <x:si>
    <x:t xml:space="preserve">Spelare 28</x:t>
  </x:si>
  <x:si>
    <x:t xml:space="preserve">Spelare 29</x:t>
  </x:si>
  <x:si>
    <x:t xml:space="preserve">Spelare 30</x:t>
  </x:si>
  <x:si>
    <x:t xml:space="preserve">Nr</x:t>
  </x:si>
  <x:si>
    <x:t xml:space="preserve">Fas</x:t>
  </x:si>
  <x:si>
    <x:t xml:space="preserve">Grupp</x:t>
  </x:si>
  <x:si>
    <x:t xml:space="preserve">Datum Sverige</x:t>
  </x:si>
  <x:si>
    <x:t xml:space="preserve">Tid Sverige</x:t>
  </x:si>
  <x:si>
    <x:t xml:space="preserve">Datum ET</x:t>
  </x:si>
  <x:si>
    <x:t xml:space="preserve">Tid ET</x:t>
  </x:si>
  <x:si>
    <x:t xml:space="preserve">Hemmalag</x:t>
  </x:si>
  <x:si>
    <x:t xml:space="preserve">Bortalag</x:t>
  </x:si>
  <x:si>
    <x:t xml:space="preserve">Arena</x:t>
  </x:si>
  <x:si>
    <x:t xml:space="preserve">Facit H</x:t>
  </x:si>
  <x:si>
    <x:t xml:space="preserve">Facit B</x:t>
  </x:si>
  <x:si>
    <x:t xml:space="preserve">Facit tecken</x:t>
  </x:si>
  <x:si>
    <x:t xml:space="preserve">Källa</x:t>
  </x:si>
  <x:si>
    <x:t xml:space="preserve">Gruppspel</x:t>
  </x:si>
  <x:si>
    <x:t xml:space="preserve">A</x:t>
  </x:si>
  <x:si>
    <x:t xml:space="preserve">21:00</x:t>
  </x:si>
  <x:si>
    <x:t xml:space="preserve">15:00</x:t>
  </x:si>
  <x:si>
    <x:t xml:space="preserve">Mexico</x:t>
  </x:si>
  <x:si>
    <x:t xml:space="preserve">South Africa</x:t>
  </x:si>
  <x:si>
    <x:t xml:space="preserve">Estadio Azteca, Mexico City</x:t>
  </x:si>
  <x:si>
    <x:t xml:space="preserve">https://www.fifa.com/en/tournaments/mens/worldcup/canadamexicousa2026/articles/match-schedule-fixtures-results-teams-stadiums</x:t>
  </x:si>
  <x:si>
    <x:t xml:space="preserve">04:00</x:t>
  </x:si>
  <x:si>
    <x:t xml:space="preserve">22:00</x:t>
  </x:si>
  <x:si>
    <x:t xml:space="preserve">South Korea</x:t>
  </x:si>
  <x:si>
    <x:t xml:space="preserve">Czechia</x:t>
  </x:si>
  <x:si>
    <x:t xml:space="preserve">Estadio Akron, Zapopan</x:t>
  </x:si>
  <x:si>
    <x:t xml:space="preserve">B</x:t>
  </x:si>
  <x:si>
    <x:t xml:space="preserve">Canada</x:t>
  </x:si>
  <x:si>
    <x:t xml:space="preserve">Bosnia &amp; Herzegovina</x:t>
  </x:si>
  <x:si>
    <x:t xml:space="preserve">BMO Field, Toronto</x:t>
  </x:si>
  <x:si>
    <x:t xml:space="preserve">D</x:t>
  </x:si>
  <x:si>
    <x:t xml:space="preserve">03:00</x:t>
  </x:si>
  <x:si>
    <x:t xml:space="preserve">USA</x:t>
  </x:si>
  <x:si>
    <x:t xml:space="preserve">Paraguay</x:t>
  </x:si>
  <x:si>
    <x:t xml:space="preserve">SoFi Stadium, Inglewood</x:t>
  </x:si>
  <x:si>
    <x:t xml:space="preserve">Qatar</x:t>
  </x:si>
  <x:si>
    <x:t xml:space="preserve">Switzerland</x:t>
  </x:si>
  <x:si>
    <x:t xml:space="preserve">Levi’s Stadium, Santa Clara</x:t>
  </x:si>
  <x:si>
    <x:t xml:space="preserve">C</x:t>
  </x:si>
  <x:si>
    <x:t xml:space="preserve">00:00</x:t>
  </x:si>
  <x:si>
    <x:t xml:space="preserve">18:00</x:t>
  </x:si>
  <x:si>
    <x:t xml:space="preserve">Brazil</x:t>
  </x:si>
  <x:si>
    <x:t xml:space="preserve">Morocco</x:t>
  </x:si>
  <x:si>
    <x:t xml:space="preserve">MetLife Stadium, East Rutherford</x:t>
  </x:si>
  <x:si>
    <x:t xml:space="preserve">Haiti</x:t>
  </x:si>
  <x:si>
    <x:t xml:space="preserve">Scotland</x:t>
  </x:si>
  <x:si>
    <x:t xml:space="preserve">Gillette Stadium, Foxborough</x:t>
  </x:si>
  <x:si>
    <x:t xml:space="preserve">06:00</x:t>
  </x:si>
  <x:si>
    <x:t xml:space="preserve">Australia</x:t>
  </x:si>
  <x:si>
    <x:t xml:space="preserve">Türkiye</x:t>
  </x:si>
  <x:si>
    <x:t xml:space="preserve">BC Place, Vancouver</x:t>
  </x:si>
  <x:si>
    <x:t xml:space="preserve">E</x:t>
  </x:si>
  <x:si>
    <x:t xml:space="preserve">19:00</x:t>
  </x:si>
  <x:si>
    <x:t xml:space="preserve">13:00</x:t>
  </x:si>
  <x:si>
    <x:t xml:space="preserve">Germany</x:t>
  </x:si>
  <x:si>
    <x:t xml:space="preserve">Curaçao</x:t>
  </x:si>
  <x:si>
    <x:t xml:space="preserve">NRG Stadium, Houston</x:t>
  </x:si>
  <x:si>
    <x:t xml:space="preserve">F</x:t>
  </x:si>
  <x:si>
    <x:t xml:space="preserve">16:00</x:t>
  </x:si>
  <x:si>
    <x:t xml:space="preserve">Netherlands</x:t>
  </x:si>
  <x:si>
    <x:t xml:space="preserve">Japan</x:t>
  </x:si>
  <x:si>
    <x:t xml:space="preserve">AT&amp;T Stadium, Arlington</x:t>
  </x:si>
  <x:si>
    <x:t xml:space="preserve">01:00</x:t>
  </x:si>
  <x:si>
    <x:t xml:space="preserve">Ivory Coast</x:t>
  </x:si>
  <x:si>
    <x:t xml:space="preserve">Ecuador</x:t>
  </x:si>
  <x:si>
    <x:t xml:space="preserve">Lincoln Financial Field, Philadelphia</x:t>
  </x:si>
  <x:si>
    <x:t xml:space="preserve">Sweden</x:t>
  </x:si>
  <x:si>
    <x:t xml:space="preserve">Tunisia</x:t>
  </x:si>
  <x:si>
    <x:t xml:space="preserve">Estadio BBVA, Monterrey</x:t>
  </x:si>
  <x:si>
    <x:t xml:space="preserve">H</x:t>
  </x:si>
  <x:si>
    <x:t xml:space="preserve">12:00</x:t>
  </x:si>
  <x:si>
    <x:t xml:space="preserve">Spain</x:t>
  </x:si>
  <x:si>
    <x:t xml:space="preserve">Cape Verde</x:t>
  </x:si>
  <x:si>
    <x:t xml:space="preserve">Mercedes-Benz Stadium, Atlanta</x:t>
  </x:si>
  <x:si>
    <x:t xml:space="preserve">G</x:t>
  </x:si>
  <x:si>
    <x:t xml:space="preserve">Belgium</x:t>
  </x:si>
  <x:si>
    <x:t xml:space="preserve">Egypt</x:t>
  </x:si>
  <x:si>
    <x:t xml:space="preserve">Lumen Field, Seattle</x:t>
  </x:si>
  <x:si>
    <x:t xml:space="preserve">Saudi Arabia</x:t>
  </x:si>
  <x:si>
    <x:t xml:space="preserve">Uruguay</x:t>
  </x:si>
  <x:si>
    <x:t xml:space="preserve">Hard Rock Stadium, Miami Gardens</x:t>
  </x:si>
  <x:si>
    <x:t xml:space="preserve">Iran</x:t>
  </x:si>
  <x:si>
    <x:t xml:space="preserve">New Zealand</x:t>
  </x:si>
  <x:si>
    <x:t xml:space="preserve">I</x:t>
  </x:si>
  <x:si>
    <x:t xml:space="preserve">France</x:t>
  </x:si>
  <x:si>
    <x:t xml:space="preserve">Senegal</x:t>
  </x:si>
  <x:si>
    <x:t xml:space="preserve">Iraq</x:t>
  </x:si>
  <x:si>
    <x:t xml:space="preserve">Norway</x:t>
  </x:si>
  <x:si>
    <x:t xml:space="preserve">J</x:t>
  </x:si>
  <x:si>
    <x:t xml:space="preserve">Argentina</x:t>
  </x:si>
  <x:si>
    <x:t xml:space="preserve">Algeria</x:t>
  </x:si>
  <x:si>
    <x:t xml:space="preserve">Arrowhead Stadium, Kansas City</x:t>
  </x:si>
  <x:si>
    <x:t xml:space="preserve">Austria</x:t>
  </x:si>
  <x:si>
    <x:t xml:space="preserve">Jordan</x:t>
  </x:si>
  <x:si>
    <x:t xml:space="preserve">K</x:t>
  </x:si>
  <x:si>
    <x:t xml:space="preserve">Portugal</x:t>
  </x:si>
  <x:si>
    <x:t xml:space="preserve">DR Congo</x:t>
  </x:si>
  <x:si>
    <x:t xml:space="preserve">L</x:t>
  </x:si>
  <x:si>
    <x:t xml:space="preserve">England</x:t>
  </x:si>
  <x:si>
    <x:t xml:space="preserve">Croatia</x:t>
  </x:si>
  <x:si>
    <x:t xml:space="preserve">Ghana</x:t>
  </x:si>
  <x:si>
    <x:t xml:space="preserve">Panama</x:t>
  </x:si>
  <x:si>
    <x:t xml:space="preserve">Uzbekistan</x:t>
  </x:si>
  <x:si>
    <x:t xml:space="preserve">Colombia</x:t>
  </x:si>
  <x:si>
    <x:t xml:space="preserve">02:30</x:t>
  </x:si>
  <x:si>
    <x:t xml:space="preserve">20:30</x:t>
  </x:si>
  <x:si>
    <x:t xml:space="preserve">05:00</x:t>
  </x:si>
  <x:si>
    <x:t xml:space="preserve">23:00</x:t>
  </x:si>
  <x:si>
    <x:t xml:space="preserve">02:00</x:t>
  </x:si>
  <x:si>
    <x:t xml:space="preserve">20:00</x:t>
  </x:si>
  <x:si>
    <x:t xml:space="preserve">17:00</x:t>
  </x:si>
  <x:si>
    <x:t xml:space="preserve">01:30</x:t>
  </x:si>
  <x:si>
    <x:t xml:space="preserve">19:30</x:t>
  </x:si>
  <x:si>
    <x:t xml:space="preserve">32-delsfinal</x:t>
  </x:si>
  <x:si>
    <x:t xml:space="preserve">Runner-up A</x:t>
  </x:si>
  <x:si>
    <x:t xml:space="preserve">Runner-up B</x:t>
  </x:si>
  <x:si>
    <x:t xml:space="preserve">Winner C</x:t>
  </x:si>
  <x:si>
    <x:t xml:space="preserve">Runner-up F</x:t>
  </x:si>
  <x:si>
    <x:t xml:space="preserve">22:30</x:t>
  </x:si>
  <x:si>
    <x:t xml:space="preserve">16:30</x:t>
  </x:si>
  <x:si>
    <x:t xml:space="preserve">Winner E</x:t>
  </x:si>
  <x:si>
    <x:t xml:space="preserve">Best 3rd (A/B/C/D/F)</x:t>
  </x:si>
  <x:si>
    <x:t xml:space="preserve">Winner F</x:t>
  </x:si>
  <x:si>
    <x:t xml:space="preserve">Runner-up C</x:t>
  </x:si>
  <x:si>
    <x:t xml:space="preserve">Runner-up E</x:t>
  </x:si>
  <x:si>
    <x:t xml:space="preserve">Runner-up I</x:t>
  </x:si>
  <x:si>
    <x:t xml:space="preserve">Winner I</x:t>
  </x:si>
  <x:si>
    <x:t xml:space="preserve">Best 3rd (C/D/F/G/H)</x:t>
  </x:si>
  <x:si>
    <x:t xml:space="preserve">Winner A</x:t>
  </x:si>
  <x:si>
    <x:t xml:space="preserve">Best 3rd (C/E/F/H/I)</x:t>
  </x:si>
  <x:si>
    <x:t xml:space="preserve">Winner L</x:t>
  </x:si>
  <x:si>
    <x:t xml:space="preserve">Best 3rd (E/H/I/J/K)</x:t>
  </x:si>
  <x:si>
    <x:t xml:space="preserve">Winner G</x:t>
  </x:si>
  <x:si>
    <x:t xml:space="preserve">Best 3rd (A/E/H/I/J)</x:t>
  </x:si>
  <x:si>
    <x:t xml:space="preserve">Winner D</x:t>
  </x:si>
  <x:si>
    <x:t xml:space="preserve">Best 3rd (B/E/F/I/J)</x:t>
  </x:si>
  <x:si>
    <x:t xml:space="preserve">Winner H</x:t>
  </x:si>
  <x:si>
    <x:t xml:space="preserve">Runner-up J</x:t>
  </x:si>
  <x:si>
    <x:t xml:space="preserve">Runner-up K</x:t>
  </x:si>
  <x:si>
    <x:t xml:space="preserve">Runner-up L</x:t>
  </x:si>
  <x:si>
    <x:t xml:space="preserve">Winner B</x:t>
  </x:si>
  <x:si>
    <x:t xml:space="preserve">Best 3rd (E/F/G/I/J)</x:t>
  </x:si>
  <x:si>
    <x:t xml:space="preserve">14:00</x:t>
  </x:si>
  <x:si>
    <x:t xml:space="preserve">Runner-up D</x:t>
  </x:si>
  <x:si>
    <x:t xml:space="preserve">Runner-up G</x:t>
  </x:si>
  <x:si>
    <x:t xml:space="preserve">Winner J</x:t>
  </x:si>
  <x:si>
    <x:t xml:space="preserve">Runner-up H</x:t>
  </x:si>
  <x:si>
    <x:t xml:space="preserve">03:30</x:t>
  </x:si>
  <x:si>
    <x:t xml:space="preserve">21:30</x:t>
  </x:si>
  <x:si>
    <x:t xml:space="preserve">Winner K</x:t>
  </x:si>
  <x:si>
    <x:t xml:space="preserve">Best 3rd (D/E/I/J/L)</x:t>
  </x:si>
  <x:si>
    <x:t xml:space="preserve">Åttondelsfinal</x:t>
  </x:si>
  <x:si>
    <x:t xml:space="preserve">Winner Match 73</x:t>
  </x:si>
  <x:si>
    <x:t xml:space="preserve">Winner Match 75</x:t>
  </x:si>
  <x:si>
    <x:t xml:space="preserve">Winner Match 74</x:t>
  </x:si>
  <x:si>
    <x:t xml:space="preserve">Winner Match 77</x:t>
  </x:si>
  <x:si>
    <x:t xml:space="preserve">Winner Match 76</x:t>
  </x:si>
  <x:si>
    <x:t xml:space="preserve">Winner Match 78</x:t>
  </x:si>
  <x:si>
    <x:t xml:space="preserve">Winner Match 79</x:t>
  </x:si>
  <x:si>
    <x:t xml:space="preserve">Winner Match 80</x:t>
  </x:si>
  <x:si>
    <x:t xml:space="preserve">Winner Match 83</x:t>
  </x:si>
  <x:si>
    <x:t xml:space="preserve">Winner Match 84</x:t>
  </x:si>
  <x:si>
    <x:t xml:space="preserve">Winner Match 81</x:t>
  </x:si>
  <x:si>
    <x:t xml:space="preserve">Winner Match 82</x:t>
  </x:si>
  <x:si>
    <x:t xml:space="preserve">Winner Match 86</x:t>
  </x:si>
  <x:si>
    <x:t xml:space="preserve">Winner Match 88</x:t>
  </x:si>
  <x:si>
    <x:t xml:space="preserve">Winner Match 85</x:t>
  </x:si>
  <x:si>
    <x:t xml:space="preserve">Winner Match 87</x:t>
  </x:si>
  <x:si>
    <x:t xml:space="preserve">Kvartsfinal</x:t>
  </x:si>
  <x:si>
    <x:t xml:space="preserve">Winner Match 89</x:t>
  </x:si>
  <x:si>
    <x:t xml:space="preserve">Winner Match 90</x:t>
  </x:si>
  <x:si>
    <x:t xml:space="preserve">Winner Match 93</x:t>
  </x:si>
  <x:si>
    <x:t xml:space="preserve">Winner Match 94</x:t>
  </x:si>
  <x:si>
    <x:t xml:space="preserve">Winner Match 91</x:t>
  </x:si>
  <x:si>
    <x:t xml:space="preserve">Winner Match 92</x:t>
  </x:si>
  <x:si>
    <x:t xml:space="preserve">Winner Match 95</x:t>
  </x:si>
  <x:si>
    <x:t xml:space="preserve">Winner Match 96</x:t>
  </x:si>
  <x:si>
    <x:t xml:space="preserve">Semifinal</x:t>
  </x:si>
  <x:si>
    <x:t xml:space="preserve">Winner Match 97</x:t>
  </x:si>
  <x:si>
    <x:t xml:space="preserve">Winner Match 98</x:t>
  </x:si>
  <x:si>
    <x:t xml:space="preserve">AT&amp;T Stadium, Arlington (Dallas)</x:t>
  </x:si>
  <x:si>
    <x:t xml:space="preserve">Winner Match 99</x:t>
  </x:si>
  <x:si>
    <x:t xml:space="preserve">Winner Match 100</x:t>
  </x:si>
  <x:si>
    <x:t xml:space="preserve">Bronsmatch</x:t>
  </x:si>
  <x:si>
    <x:t xml:space="preserve">Loser Match 101</x:t>
  </x:si>
  <x:si>
    <x:t xml:space="preserve">Loser Match 102</x:t>
  </x:si>
  <x:si>
    <x:t xml:space="preserve">Final</x:t>
  </x:si>
  <x:si>
    <x:t xml:space="preserve">Winner Match 101</x:t>
  </x:si>
  <x:si>
    <x:t xml:space="preserve">Winner Match 102</x:t>
  </x:si>
  <x:si>
    <x:t xml:space="preserve">MetLife Stadium, East Rutherford, NJ</x:t>
  </x:si>
  <x:si>
    <x:t xml:space="preserve">VM-tips 2026 – regler och källor</x:t>
  </x:si>
  <x:si>
    <x:t xml:space="preserve">Inställning</x:t>
  </x:si>
  <x:si>
    <x:t xml:space="preserve">Poäng för exakt resultat</x:t>
  </x:si>
  <x:si>
    <x:t xml:space="preserve">Poäng för rätt tecken (1/X/2)</x:t>
  </x:si>
  <x:si>
    <x:t xml:space="preserve">Antal deltagare</x:t>
  </x:si>
  <x:si>
    <x:t xml:space="preserve">Antal matcher</x:t>
  </x:si>
  <x:si>
    <x:t xml:space="preserve">Så används filen</x:t>
  </x:si>
  <x:si>
    <x:t xml:space="preserve">1. Gå till varje flik Spelare 01–30 och skriv deltagarens namn i cell B2.</x:t>
  </x:si>
  <x:si>
    <x:t xml:space="preserve">2. Deltagaren fyller i tippade mål för hemmalag och bortalag. Tipptecken räknas automatiskt.</x:t>
  </x:si>
  <x:si>
    <x:t xml:space="preserve">3. När matcherna spelats fyller admin facit i Matchschema, kolumn K–L.</x:t>
  </x:si>
  <x:si>
    <x:t xml:space="preserve">4. Poängen uppdateras automatiskt på spelarnas flikar och i Startsida.</x:t>
  </x:si>
  <x:si>
    <x:t xml:space="preserve">5. Ändra poängmodellen i cell B4–B5 här om ni vill ha andra regler.</x:t>
  </x:si>
  <x:si>
    <x:t xml:space="preserve">Tips: Skydda gärna Matchschema och Startsida om ni delar filen, så att endast personflikarna fylls i.</x:t>
  </x:si>
  <x:si>
    <x:t xml:space="preserve">Källor</x:t>
  </x:si>
  <x:si>
    <x:t xml:space="preserve">https://worldcupwiki.com/schedule/</x:t>
  </x:si>
  <x:si>
    <x:t xml:space="preserve">VM-tips 2026 – personlig tippflik</x:t>
  </x:si>
  <x:si>
    <x:t xml:space="preserve">Namn:</x:t>
  </x:si>
  <x:si>
    <x:t xml:space="preserve">Ricardo</x:t>
  </x:si>
  <x:si>
    <x:t xml:space="preserve">Totalpoäng</x:t>
  </x:si>
  <x:si>
    <x:t xml:space="preserve">Datum SE</x:t>
  </x:si>
  <x:si>
    <x:t xml:space="preserve">Tid SE</x:t>
  </x:si>
  <x:si>
    <x:t xml:space="preserve">Tip H</x:t>
  </x:si>
  <x:si>
    <x:t xml:space="preserve">Tip B</x:t>
  </x:si>
  <x:si>
    <x:t xml:space="preserve">Tipp</x:t>
  </x:si>
  <x:si>
    <x:t xml:space="preserve">Kommentar</x:t>
  </x:si>
  <x:si>
    <x:t xml:space="preserve">Janne</x:t>
  </x:si>
  <x:si>
    <x:t xml:space="preserve">Bosse</x:t>
  </x:si>
  <x:si>
    <x:t xml:space="preserve">Stina</x:t>
  </x:si>
  <x:si>
    <x:t xml:space="preserve">Robban</x:t>
  </x:si>
  <x:si>
    <x:t xml:space="preserve">Chrille</x:t>
  </x:si>
  <x:si>
    <x:t xml:space="preserve">John T.</x:t>
  </x:si>
  <x:si>
    <x:t xml:space="preserve">Clabbe</x:t>
  </x:si>
  <x:si>
    <x:t xml:space="preserve">Dennis</x:t>
  </x:si>
  <x:si>
    <x:t xml:space="preserve">A. Monfors</x:t>
  </x:si>
  <x:si>
    <x:t xml:space="preserve">Anders D.</x:t>
  </x:si>
  <x:si>
    <x:t xml:space="preserve">Eve</x:t>
  </x:si>
  <x:si>
    <x:t xml:space="preserve">Nizze</x:t>
  </x:si>
  <x:si>
    <x:t xml:space="preserve">Sorken</x:t>
  </x:si>
  <x:si>
    <x:t xml:space="preserve">Peter</x:t>
  </x:si>
  <x:si>
    <x:t xml:space="preserve">Antonia</x:t>
  </x:si>
  <x:si>
    <x:t xml:space="preserve">Niklas A.</x:t>
  </x:si>
  <x:si>
    <x:t xml:space="preserve">Thomas B.</x:t>
  </x:si>
  <x:si>
    <x:t xml:space="preserve">Micke</x:t>
  </x:si>
  <x:si>
    <x:t xml:space="preserve">Robin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</x:si>
</x:sst>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name val="Carlito"/>
    </x:font>
    <x:font>
      <x:b/>
      <x:sz val="11"/>
      <x:color rgb="FF831843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  <x:font>
      <x:sz val="11"/>
      <x:name val="Carlito"/>
    </x:font>
    <x:font>
      <x:b/>
      <x:sz val="11"/>
      <x:color rgb="FF831843"/>
      <x:name val="Calibri"/>
    </x:font>
    <x:font>
      <x:sz val="11"/>
      <x:color theme="1"/>
      <x:name val="Aptos Narrow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1D4ED8"/>
      </x:patternFill>
    </x:fill>
    <x:fill>
      <x:patternFill patternType="solid">
        <x:fgColor rgb="FFFDF2F8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DF2F8"/>
      </x:patternFill>
    </x:fill>
    <x:fill>
      <x:patternFill patternType="solid">
        <x:fgColor rgb="FFDCFCE7"/>
      </x:patternFill>
    </x:fill>
  </x:fills>
  <x:borders count="4">
    <x:border/>
    <x:border/>
    <x:border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</x:borders>
  <x:cellStyleXfs count="3">
    <x:xf numFmtId="0" fontId="0" fillId="0" borderId="0"/>
    <x:xf numFmtId="0" fontId="8" fillId="0" borderId="1"/>
    <x:xf numFmtId="0" fontId="10" fillId="0" borderId="1"/>
  </x:cellStyleXfs>
  <x:cellXfs count="32">
    <x:xf numFmtId="0" fontId="0" fillId="0" borderId="0" xfId="0"/>
    <x:xf numFmtId="0" fontId="2" fillId="2" borderId="0" xfId="0" applyFont="1" applyFill="1" applyAlignment="1">
      <x:alignment horizontal="center" vertical="center" wrapText="1"/>
    </x:xf>
    <x:xf numFmtId="0" fontId="3" fillId="3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5" fillId="6" borderId="0" xfId="0" applyFont="1" applyFill="1" applyAlignment="1">
      <x:alignment horizontal="center" wrapText="1"/>
    </x:xf>
    <x:xf numFmtId="0" fontId="0" fillId="7" borderId="0" xfId="0" applyFill="1" applyAlignment="1">
      <x:alignment horizontal="center" wrapText="1"/>
    </x:xf>
    <x:xf numFmtId="0" fontId="3" fillId="4" borderId="0" xfId="0" applyFont="1" applyFill="1" applyAlignment="1">
      <x:alignment horizontal="center" vertical="center" wrapText="1"/>
    </x:xf>
    <x:xf numFmtId="0" fontId="0" fillId="4" borderId="0" xfId="0" applyFill="1" applyAlignment="1">
      <x:alignment horizontal="center" wrapText="1"/>
    </x:xf>
    <x:xf numFmtId="0" fontId="0" fillId="0" borderId="0" xfId="0" applyAlignment="1">
      <x:alignment vertical="center"/>
    </x:xf>
    <x:xf numFmtId="0" fontId="0" fillId="4" borderId="0" xfId="0" applyFill="1" applyAlignment="1">
      <x:alignment horizontal="center" vertical="center"/>
    </x:xf>
    <x:xf numFmtId="0" fontId="0" fillId="0" borderId="0" xfId="0" applyAlignment="1">
      <x:alignment vertical="center" wrapText="1"/>
    </x:xf>
    <x:xf numFmtId="164" fontId="0" fillId="0" borderId="0" xfId="0" applyNumberFormat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0" fillId="7" borderId="0" xfId="0" applyFill="1" applyAlignment="1">
      <x:alignment horizontal="center" vertical="center" wrapText="1"/>
    </x:xf>
    <x:xf numFmtId="0" fontId="4" fillId="0" borderId="0" xfId="0" applyFont="1" applyAlignment="1">
      <x:alignment vertical="center"/>
    </x:xf>
    <x:xf numFmtId="0" fontId="5" fillId="6" borderId="1" xfId="1" applyFont="1" applyFill="1" applyAlignment="1">
      <x:alignment horizontal="center" vertical="center" wrapText="1"/>
    </x:xf>
    <x:xf numFmtId="1" fontId="5" fillId="6" borderId="0" xfId="0" applyNumberFormat="1" applyFont="1" applyFill="1" applyAlignment="1">
      <x:alignment horizontal="center" vertical="center" wrapText="1"/>
    </x:xf>
    <x:xf numFmtId="165" fontId="0" fillId="0" borderId="0" xfId="0" applyNumberFormat="1" applyAlignment="1">
      <x:alignment vertical="center"/>
    </x:xf>
    <x:xf numFmtId="0" fontId="9" fillId="9" borderId="0" xfId="0" applyFont="1" applyFill="1" applyAlignment="1">
      <x:alignment horizontal="center" vertical="center" wrapText="1"/>
    </x:xf>
    <x:xf numFmtId="1" fontId="5" fillId="6" borderId="1" xfId="1" applyNumberFormat="1" applyFont="1" applyFill="1" applyAlignment="1">
      <x:alignment horizontal="center" vertical="center" wrapText="1"/>
    </x:xf>
    <x:xf numFmtId="0" fontId="8" fillId="0" borderId="1" xfId="1" applyAlignment="1">
      <x:alignment vertical="center" wrapText="1"/>
    </x:xf>
    <x:xf numFmtId="0" fontId="5" fillId="6" borderId="1" xfId="2" applyFont="1" applyFill="1" applyAlignment="1">
      <x:alignment horizontal="center" vertical="center" wrapText="1"/>
    </x:xf>
    <x:xf numFmtId="0" fontId="5" fillId="10" borderId="2" xfId="0" applyFont="1" applyFill="1" applyBorder="1" applyAlignment="1">
      <x:alignment wrapText="1"/>
    </x:xf>
    <x:xf numFmtId="0" fontId="5" fillId="9" borderId="3" xfId="0" applyFont="1" applyFill="1" applyBorder="1" applyAlignment="1">
      <x:alignment wrapText="1"/>
    </x:xf>
    <x:xf numFmtId="0" fontId="7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2" fillId="5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6" fillId="2" borderId="0" xfId="0" applyFont="1" applyFill="1" applyAlignment="1">
      <x:alignment horizontal="center"/>
    </x:xf>
    <x:xf numFmtId="0" fontId="4" fillId="8" borderId="0" xfId="0" applyFont="1" applyFill="1" applyAlignment="1">
      <x:alignment horizontal="left"/>
    </x:xf>
    <x:xf numFmtId="0" fontId="0" fillId="0" borderId="0" xfId="0" applyAlignment="1"/>
  </x:cellXfs>
  <x:cellStyles count="3">
    <x:cellStyle name="Normal" xfId="0"/>
    <x:cellStyle name="Normal 2" xfId="1"/>
    <x:cellStyle name="Normal 3" xfId="2"/>
  </x:cellStyles>
  <x:dxfs count="66"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numFmt numFmtId="1" formatCode="0"/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/>
    <x:dxf/>
    <x:dxf>
      <x:font>
        <x:b/>
        <x:u val="none"/>
        <x:sz val="11"/>
        <x:color rgb="FF831843"/>
        <x:name val="Calibri"/>
        <x:family val="2"/>
        <x:scheme val="minor"/>
      </x:font>
      <x:fill>
        <x:patternFill>
          <x:bgColor rgb="FF000000"/>
        </x:patternFill>
      </x:fill>
    </x:dxf>
    <x:dxf>
      <x:font>
        <x:b/>
        <x:u val="none"/>
        <x:sz val="11"/>
        <x:color rgb="FF831843"/>
        <x:name val="Calibri"/>
        <x:family val="2"/>
        <x:scheme val="minor"/>
      </x:font>
      <x:fill>
        <x:patternFill>
          <x:bgColor rgb="FF000000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numFmt numFmtId="1" formatCode="0"/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numFmt numFmtId="1" formatCode="0"/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numFmt numFmtId="1" formatCode="0"/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numFmt numFmtId="1" formatCode="0"/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831843"/>
        <x:name val="Carlito"/>
        <x:scheme val="none"/>
      </x:font>
      <x:fill>
        <x:patternFill>
          <x:bgColor indexed="64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b3e4c4e5e42e9" /><Relationship Type="http://schemas.openxmlformats.org/officeDocument/2006/relationships/theme" Target="/xl/theme/theme1.xml" Id="R507df8a923244bb8" /><Relationship Type="http://schemas.openxmlformats.org/officeDocument/2006/relationships/sharedStrings" Target="/xl/sharedStrings.xml" Id="Rbc0aa6502c8b4cca" /><Relationship Type="http://schemas.openxmlformats.org/officeDocument/2006/relationships/worksheet" Target="/xl/worksheets/sheet1.xml" Id="Rd4953a6795414105" /><Relationship Type="http://schemas.openxmlformats.org/officeDocument/2006/relationships/worksheet" Target="/xl/worksheets/sheet2.xml" Id="R5450362f642c47f6" /><Relationship Type="http://schemas.openxmlformats.org/officeDocument/2006/relationships/worksheet" Target="/xl/worksheets/sheet3.xml" Id="R8d7b9a370e8e42bb" /><Relationship Type="http://schemas.openxmlformats.org/officeDocument/2006/relationships/worksheet" Target="/xl/worksheets/sheet4.xml" Id="R053961a4c2e24e25" /><Relationship Type="http://schemas.openxmlformats.org/officeDocument/2006/relationships/worksheet" Target="/xl/worksheets/sheet5.xml" Id="Rf60c8b4efcf9456f" /><Relationship Type="http://schemas.openxmlformats.org/officeDocument/2006/relationships/worksheet" Target="/xl/worksheets/sheet6.xml" Id="Rf4732ebd22bf4376" /><Relationship Type="http://schemas.openxmlformats.org/officeDocument/2006/relationships/worksheet" Target="/xl/worksheets/sheet7.xml" Id="Rb88dc5675c5a486b" /><Relationship Type="http://schemas.openxmlformats.org/officeDocument/2006/relationships/worksheet" Target="/xl/worksheets/sheet8.xml" Id="Re60961ffcfed4de6" /><Relationship Type="http://schemas.openxmlformats.org/officeDocument/2006/relationships/worksheet" Target="/xl/worksheets/sheet9.xml" Id="R49cdfef8f2c144f6" /><Relationship Type="http://schemas.openxmlformats.org/officeDocument/2006/relationships/worksheet" Target="/xl/worksheets/sheet10.xml" Id="Rfaf954ed73d24dd3" /><Relationship Type="http://schemas.openxmlformats.org/officeDocument/2006/relationships/worksheet" Target="/xl/worksheets/sheet11.xml" Id="Rac4dc921832f4b0a" /><Relationship Type="http://schemas.openxmlformats.org/officeDocument/2006/relationships/worksheet" Target="/xl/worksheets/sheet12.xml" Id="R2cdf1d8118e84550" /><Relationship Type="http://schemas.openxmlformats.org/officeDocument/2006/relationships/worksheet" Target="/xl/worksheets/sheet13.xml" Id="Rcd1925183ba7403b" /><Relationship Type="http://schemas.openxmlformats.org/officeDocument/2006/relationships/worksheet" Target="/xl/worksheets/sheet14.xml" Id="R2df37e381da34d42" /><Relationship Type="http://schemas.openxmlformats.org/officeDocument/2006/relationships/worksheet" Target="/xl/worksheets/sheet15.xml" Id="Rf5e92a7699fa4f32" /><Relationship Type="http://schemas.openxmlformats.org/officeDocument/2006/relationships/worksheet" Target="/xl/worksheets/sheet16.xml" Id="R102028fd3608421d" /><Relationship Type="http://schemas.openxmlformats.org/officeDocument/2006/relationships/worksheet" Target="/xl/worksheets/sheet17.xml" Id="Ra0f7bc0a8eab4513" /><Relationship Type="http://schemas.openxmlformats.org/officeDocument/2006/relationships/worksheet" Target="/xl/worksheets/sheet18.xml" Id="R91415c75fb10490d" /><Relationship Type="http://schemas.openxmlformats.org/officeDocument/2006/relationships/worksheet" Target="/xl/worksheets/sheet19.xml" Id="R3e163779fdc3492d" /><Relationship Type="http://schemas.openxmlformats.org/officeDocument/2006/relationships/worksheet" Target="/xl/worksheets/sheet20.xml" Id="Refe5a80f8cab4c5e" /><Relationship Type="http://schemas.openxmlformats.org/officeDocument/2006/relationships/worksheet" Target="/xl/worksheets/sheet21.xml" Id="R0486f73fdc1a4ff1" /><Relationship Type="http://schemas.openxmlformats.org/officeDocument/2006/relationships/worksheet" Target="/xl/worksheets/sheet22.xml" Id="R4cba231aad964a68" /><Relationship Type="http://schemas.openxmlformats.org/officeDocument/2006/relationships/worksheet" Target="/xl/worksheets/sheet23.xml" Id="R911440852faa4ee2" /><Relationship Type="http://schemas.openxmlformats.org/officeDocument/2006/relationships/worksheet" Target="/xl/worksheets/sheet24.xml" Id="R981841a396b54817" /><Relationship Type="http://schemas.openxmlformats.org/officeDocument/2006/relationships/worksheet" Target="/xl/worksheets/sheet25.xml" Id="Rc89dd31368fa4c16" /><Relationship Type="http://schemas.openxmlformats.org/officeDocument/2006/relationships/worksheet" Target="/xl/worksheets/sheet26.xml" Id="Re776efcbaac04a54" /><Relationship Type="http://schemas.openxmlformats.org/officeDocument/2006/relationships/worksheet" Target="/xl/worksheets/sheet27.xml" Id="Rcb5b165cd70649f8" /><Relationship Type="http://schemas.openxmlformats.org/officeDocument/2006/relationships/worksheet" Target="/xl/worksheets/sheet28.xml" Id="R4c5d3c5d11fc421f" /><Relationship Type="http://schemas.openxmlformats.org/officeDocument/2006/relationships/worksheet" Target="/xl/worksheets/sheet29.xml" Id="Re668e036aa884d20" /><Relationship Type="http://schemas.openxmlformats.org/officeDocument/2006/relationships/worksheet" Target="/xl/worksheets/sheet30.xml" Id="R56c7a50b536345fa" /><Relationship Type="http://schemas.openxmlformats.org/officeDocument/2006/relationships/worksheet" Target="/xl/worksheets/sheet31.xml" Id="Red654c20c3564310" /><Relationship Type="http://schemas.openxmlformats.org/officeDocument/2006/relationships/worksheet" Target="/xl/worksheets/sheet32.xml" Id="R57ce64574b2c4972" /><Relationship Type="http://schemas.openxmlformats.org/officeDocument/2006/relationships/worksheet" Target="/xl/worksheets/sheet33.xml" Id="R23c83053b59d42bd" /><Relationship Type="http://schemas.openxmlformats.org/officeDocument/2006/relationships/worksheet" Target="/xl/worksheets/sheet34.xml" Id="Rf08999de0cc342e6" /><Relationship Type="http://schemas.openxmlformats.org/officeDocument/2006/relationships/worksheet" Target="/xl/worksheets/sheet35.xml" Id="R30254a5551d84d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019f3b29604ee7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plotArea>
      <c:layout/>
      <c:barChart>
        <c:barDir val="col"/>
        <c:grouping val="clustered"/>
        <c:varyColors val="0"/>
        <c:ser>
          <c:idx val="0"/>
          <c:order val="0"/>
          <c:tx>
            <c:v>Poäng</c:v>
          </c:tx>
          <c:cat>
            <c:strRef>
              <c:f>Startsida!$I$5:$I$14</c:f>
              <c:strCache>
                <c:ptCount val="10"/>
                <c:pt idx="0">
                  <c:v>Ricardo</c:v>
                </c:pt>
                <c:pt idx="1">
                  <c:v>Stina</c:v>
                </c:pt>
                <c:pt idx="2">
                  <c:v>Robban</c:v>
                </c:pt>
                <c:pt idx="3">
                  <c:v>Clabbe</c:v>
                </c:pt>
                <c:pt idx="4">
                  <c:v>Dennis</c:v>
                </c:pt>
                <c:pt idx="5">
                  <c:v>Nizze</c:v>
                </c:pt>
                <c:pt idx="6">
                  <c:v>Janne</c:v>
                </c:pt>
                <c:pt idx="7">
                  <c:v>Bosse</c:v>
                </c:pt>
                <c:pt idx="8">
                  <c:v>Chrille</c:v>
                </c:pt>
                <c:pt idx="9">
                  <c:v>John T.</c:v>
                </c:pt>
              </c:strCache>
            </c:strRef>
          </c:cat>
          <c:val>
            <c:numRef>
              <c:f>Startsida!$J$5:$J$14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019f3b29604e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chschemaTable" displayName="MatchschemaTable" ref="A1:N105">
  <x:tableColumns count="14">
    <x:tableColumn id="1" name="Nr"/>
    <x:tableColumn id="2" name="Fas"/>
    <x:tableColumn id="3" name="Grupp"/>
    <x:tableColumn id="4" name="Datum Sverige"/>
    <x:tableColumn id="5" name="Tid Sverige"/>
    <x:tableColumn id="6" name="Datum ET"/>
    <x:tableColumn id="7" name="Tid ET"/>
    <x:tableColumn id="8" name="Hemmalag"/>
    <x:tableColumn id="9" name="Bortalag"/>
    <x:tableColumn id="10" name="Arena"/>
    <x:tableColumn id="11" name="Facit H"/>
    <x:tableColumn id="12" name="Facit B"/>
    <x:tableColumn id="13" name="Facit tecken"/>
    <x:tableColumn id="14" name="Källa"/>
  </x:tableColumns>
  <x:tableStyleInfo name="TableStyleMedium2" showRowStripes="1"/>
</x:table>
</file>

<file path=xl/tables/table2.xml><?xml version="1.0" encoding="utf-8"?>
<x:table xmlns:x="http://schemas.openxmlformats.org/spreadsheetml/2006/main" id="2" name="TipsTable01" displayName="TipsTable01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TipsTable02" displayName="TipsTable02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TipsTable03" displayName="TipsTable03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5.xml><?xml version="1.0" encoding="utf-8"?>
<x:table xmlns:x="http://schemas.openxmlformats.org/spreadsheetml/2006/main" id="5" name="TipsTable04" displayName="TipsTable04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TipsTable05" displayName="TipsTable05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7.xml><?xml version="1.0" encoding="utf-8"?>
<x:table xmlns:x="http://schemas.openxmlformats.org/spreadsheetml/2006/main" id="7" name="TipsTable06" displayName="TipsTable06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8.xml><?xml version="1.0" encoding="utf-8"?>
<x:table xmlns:x="http://schemas.openxmlformats.org/spreadsheetml/2006/main" id="8" name="TipsTable07" displayName="TipsTable07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9.xml><?xml version="1.0" encoding="utf-8"?>
<x:table xmlns:x="http://schemas.openxmlformats.org/spreadsheetml/2006/main" id="9" name="TipsTable08" displayName="TipsTable08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0.xml><?xml version="1.0" encoding="utf-8"?>
<x:table xmlns:x="http://schemas.openxmlformats.org/spreadsheetml/2006/main" id="10" name="TipsTable09" displayName="TipsTable09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1.xml><?xml version="1.0" encoding="utf-8"?>
<x:table xmlns:x="http://schemas.openxmlformats.org/spreadsheetml/2006/main" id="11" name="TipsTable10" displayName="TipsTable10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2.xml><?xml version="1.0" encoding="utf-8"?>
<x:table xmlns:x="http://schemas.openxmlformats.org/spreadsheetml/2006/main" id="12" name="TipsTable11" displayName="TipsTable11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3.xml><?xml version="1.0" encoding="utf-8"?>
<x:table xmlns:x="http://schemas.openxmlformats.org/spreadsheetml/2006/main" id="13" name="TipsTable12" displayName="TipsTable12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4.xml><?xml version="1.0" encoding="utf-8"?>
<x:table xmlns:x="http://schemas.openxmlformats.org/spreadsheetml/2006/main" id="14" name="TipsTable13" displayName="TipsTable13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5.xml><?xml version="1.0" encoding="utf-8"?>
<x:table xmlns:x="http://schemas.openxmlformats.org/spreadsheetml/2006/main" id="15" name="TipsTable14" displayName="TipsTable14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6.xml><?xml version="1.0" encoding="utf-8"?>
<x:table xmlns:x="http://schemas.openxmlformats.org/spreadsheetml/2006/main" id="16" name="TipsTable15" displayName="TipsTable15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7.xml><?xml version="1.0" encoding="utf-8"?>
<x:table xmlns:x="http://schemas.openxmlformats.org/spreadsheetml/2006/main" id="17" name="TipsTable16" displayName="TipsTable16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8.xml><?xml version="1.0" encoding="utf-8"?>
<x:table xmlns:x="http://schemas.openxmlformats.org/spreadsheetml/2006/main" id="18" name="TipsTable17" displayName="TipsTable17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19.xml><?xml version="1.0" encoding="utf-8"?>
<x:table xmlns:x="http://schemas.openxmlformats.org/spreadsheetml/2006/main" id="19" name="TipsTable18" displayName="TipsTable18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0.xml><?xml version="1.0" encoding="utf-8"?>
<x:table xmlns:x="http://schemas.openxmlformats.org/spreadsheetml/2006/main" id="20" name="TipsTable19" displayName="TipsTable19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1.xml><?xml version="1.0" encoding="utf-8"?>
<x:table xmlns:x="http://schemas.openxmlformats.org/spreadsheetml/2006/main" id="21" name="TipsTable20" displayName="TipsTable20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2.xml><?xml version="1.0" encoding="utf-8"?>
<x:table xmlns:x="http://schemas.openxmlformats.org/spreadsheetml/2006/main" id="22" name="TipsTable21" displayName="TipsTable21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3.xml><?xml version="1.0" encoding="utf-8"?>
<x:table xmlns:x="http://schemas.openxmlformats.org/spreadsheetml/2006/main" id="23" name="TipsTable22" displayName="TipsTable22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4.xml><?xml version="1.0" encoding="utf-8"?>
<x:table xmlns:x="http://schemas.openxmlformats.org/spreadsheetml/2006/main" id="24" name="TipsTable23" displayName="TipsTable23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5.xml><?xml version="1.0" encoding="utf-8"?>
<x:table xmlns:x="http://schemas.openxmlformats.org/spreadsheetml/2006/main" id="25" name="TipsTable24" displayName="TipsTable24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6.xml><?xml version="1.0" encoding="utf-8"?>
<x:table xmlns:x="http://schemas.openxmlformats.org/spreadsheetml/2006/main" id="26" name="TipsTable25" displayName="TipsTable25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7.xml><?xml version="1.0" encoding="utf-8"?>
<x:table xmlns:x="http://schemas.openxmlformats.org/spreadsheetml/2006/main" id="27" name="TipsTable26" displayName="TipsTable26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8.xml><?xml version="1.0" encoding="utf-8"?>
<x:table xmlns:x="http://schemas.openxmlformats.org/spreadsheetml/2006/main" id="28" name="TipsTable27" displayName="TipsTable27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29.xml><?xml version="1.0" encoding="utf-8"?>
<x:table xmlns:x="http://schemas.openxmlformats.org/spreadsheetml/2006/main" id="29" name="TipsTable28" displayName="TipsTable28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30.xml><?xml version="1.0" encoding="utf-8"?>
<x:table xmlns:x="http://schemas.openxmlformats.org/spreadsheetml/2006/main" id="30" name="TipsTable29" displayName="TipsTable29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ables/table31.xml><?xml version="1.0" encoding="utf-8"?>
<x:table xmlns:x="http://schemas.openxmlformats.org/spreadsheetml/2006/main" id="31" name="TipsTable30" displayName="TipsTable30" ref="A6:M110">
  <x:tableColumns count="13">
    <x:tableColumn id="1" name="Nr"/>
    <x:tableColumn id="2" name="Fas"/>
    <x:tableColumn id="3" name="Grupp"/>
    <x:tableColumn id="4" name="Datum SE"/>
    <x:tableColumn id="5" name="Tid SE"/>
    <x:tableColumn id="6" name="Hemmalag"/>
    <x:tableColumn id="7" name="Bortalag"/>
    <x:tableColumn id="8" name="Arena"/>
    <x:tableColumn id="9" name="Tip H"/>
    <x:tableColumn id="10" name="Tip B"/>
    <x:tableColumn id="11" name="Tipp"/>
    <x:tableColumn id="12" name="Poäng"/>
    <x:tableColumn id="13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54331390db4a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b7963d3454d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4a375a9fb8f149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c2a314071e7441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f4e6f872c45241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cc5f4beb8deb41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3651d0e00e8941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aaf970b81afa4e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650a92e4881a42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dd859031ccdd461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5c91114620b841b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3eee1d41c56948c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537ac80eff8242b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cea880b87c8a4b0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3afafd0241254ee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e5d2608e0ba44c4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9c5f941edc1b4e1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e8f14779560e453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b7f83df6f1544b0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9f291a03e52c438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ec663a8609e74a4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dac5299d37ca4aa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c50d0cc46c164d6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eb1693145cef464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4.xml" Id="R116ac4c0bd4141c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5.xml" Id="R672be327d4fd423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6.xml" Id="Rc916c33278b54033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7.xml" Id="R3d1dc549ca03458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8.xml" Id="R7e837ebf30f8476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9.xml" Id="Raa2a9ca06d3840b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0.xml" Id="R26c101fecef94ac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1.xml" Id="R1c52f1647eee4c98" /></Relationships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2" width="20" customWidth="1"/>
    <x:col min="3" max="5" width="12" customWidth="1"/>
    <x:col min="6" max="6" width="14" customWidth="1"/>
    <x:col min="7" max="7" width="5.125" customWidth="1"/>
    <x:col min="8" max="8" width="22.625" customWidth="1"/>
    <x:col min="9" max="9" width="20" customWidth="1"/>
    <x:col min="10" max="12" width="12" customWidth="1"/>
    <x:col min="13" max="13" width="22" customWidth="1"/>
    <x:col min="14" max="14" width="12" customWidth="1"/>
  </x:cols>
  <x:sheetData>
    <x:row r="1" ht="23.25">
      <x:c r="A1" s="25" t="s">
        <x:v>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30">
      <x:c r="A3" s="1" t="s">
        <x:v>1</x:v>
      </x:c>
      <x:c r="B3" s="1"/>
      <x:c r="C3" s="9"/>
      <x:c r="D3" s="9"/>
      <x:c r="E3" s="9"/>
      <x:c r="F3" s="9"/>
      <x:c r="G3" s="9"/>
      <x:c r="H3" s="27" t="s">
        <x:v>2</x:v>
      </x:c>
      <x:c r="I3" s="26"/>
      <x:c r="J3" s="26"/>
      <x:c r="K3" s="26"/>
      <x:c r="L3" s="26"/>
      <x:c r="M3" s="9"/>
      <x:c r="N3" s="9"/>
    </x:row>
    <x:row r="4" ht="30">
      <x:c r="A4" s="2" t="s">
        <x:v>3</x:v>
      </x:c>
      <x:c r="B4" s="10">
        <x:v>104</x:v>
      </x:c>
      <x:c r="C4" s="9"/>
      <x:c r="D4" s="9"/>
      <x:c r="E4" s="9"/>
      <x:c r="F4" s="9"/>
      <x:c r="G4" s="9"/>
      <x:c r="H4" s="1" t="s">
        <x:v>4</x:v>
      </x:c>
      <x:c r="I4" s="1" t="s">
        <x:v>5</x:v>
      </x:c>
      <x:c r="J4" s="1" t="s">
        <x:v>6</x:v>
      </x:c>
      <x:c r="K4" s="1" t="s">
        <x:v>7</x:v>
      </x:c>
      <x:c r="L4" s="1" t="s">
        <x:v>8</x:v>
      </x:c>
      <x:c r="M4" s="9"/>
      <x:c r="N4" s="9"/>
    </x:row>
    <x:row r="5" ht="45">
      <x:c r="A5" s="2" t="s">
        <x:v>9</x:v>
      </x:c>
      <x:c r="B5" s="10" t="n">
        <x:f>COUNT(Matchschema!K2:K105)</x:f>
        <x:v>1</x:v>
      </x:c>
      <x:c r="C5" s="9"/>
      <x:c r="D5" s="9"/>
      <x:c r="E5" s="9"/>
      <x:c r="F5" s="9"/>
      <x:c r="G5" s="9"/>
      <x:c r="H5" s="9" t="n">
        <x:f>IFERROR(INDEX($A$12:$A$41,MATCH(1,$A$12:$A$41,0)),"")</x:f>
        <x:v>1</x:v>
      </x:c>
      <x:c r="I5" s="9" t="str">
        <x:f>IFERROR(INDEX($B$12:$B$41,MATCH(1,$A$12:$A$41,0)),"")</x:f>
        <x:v>Ricardo</x:v>
      </x:c>
      <x:c r="J5" s="9" t="n">
        <x:f>IFERROR(INDEX($C$12:$C$41,MATCH(1,$A$12:$A$41,0)),"")</x:f>
        <x:v>3</x:v>
      </x:c>
      <x:c r="K5" s="9" t="n">
        <x:f>IFERROR(INDEX($D$12:$D$41,MATCH(1,$A$12:$A$41,0)),"")</x:f>
        <x:v>1</x:v>
      </x:c>
      <x:c r="L5" s="9" t="n">
        <x:f>IFERROR(INDEX($E$12:$E$41,MATCH(1,$A$12:$A$41,0)),"")</x:f>
        <x:v>0</x:v>
      </x:c>
      <x:c r="M5" s="9"/>
      <x:c r="N5" s="9"/>
    </x:row>
    <x:row r="6" ht="30">
      <x:c r="A6" s="2" t="s">
        <x:v>10</x:v>
      </x:c>
      <x:c r="B6" s="10">
        <x:v>30</x:v>
      </x:c>
      <x:c r="C6" s="9"/>
      <x:c r="D6" s="9"/>
      <x:c r="E6" s="9"/>
      <x:c r="F6" s="9"/>
      <x:c r="G6" s="9"/>
      <x:c r="H6" s="9" t="n">
        <x:f>IFERROR(INDEX($A$12:$A$41,MATCH(2,$A$12:$A$41,0)),"")</x:f>
        <x:v>2</x:v>
      </x:c>
      <x:c r="I6" s="9" t="str">
        <x:f>IFERROR(INDEX($B$12:$B$41,MATCH(2,$A$12:$A$41,0)),"")</x:f>
        <x:v>Stina</x:v>
      </x:c>
      <x:c r="J6" s="9" t="n">
        <x:f>IFERROR(INDEX($C$12:$C$41,MATCH(2,$A$12:$A$41,0)),"")</x:f>
        <x:v>3</x:v>
      </x:c>
      <x:c r="K6" s="9" t="n">
        <x:f>IFERROR(INDEX($D$12:$D$41,MATCH(2,$A$12:$A$41,0)),"")</x:f>
        <x:v>1</x:v>
      </x:c>
      <x:c r="L6" s="9" t="n">
        <x:f>IFERROR(INDEX($E$12:$E$41,MATCH(2,$A$12:$A$41,0)),"")</x:f>
        <x:v>0</x:v>
      </x:c>
      <x:c r="M6" s="9"/>
      <x:c r="N6" s="9"/>
    </x:row>
    <x:row r="7" ht="45">
      <x:c r="A7" s="2" t="s">
        <x:v>11</x:v>
      </x:c>
      <x:c r="B7" s="10" t="n">
        <x:f>IFERROR(AVERAGE(C12:C41),0)</x:f>
        <x:v>0.9666666666666667</x:v>
      </x:c>
      <x:c r="C7" s="9"/>
      <x:c r="D7" s="9"/>
      <x:c r="E7" s="9"/>
      <x:c r="F7" s="9"/>
      <x:c r="G7" s="9"/>
      <x:c r="H7" s="9" t="n">
        <x:f>IFERROR(INDEX($A$12:$A$41,MATCH(3,$A$12:$A$41,0)),"")</x:f>
        <x:v>3</x:v>
      </x:c>
      <x:c r="I7" s="9" t="str">
        <x:f>IFERROR(INDEX($B$12:$B$41,MATCH(3,$A$12:$A$41,0)),"")</x:f>
        <x:v>Robban</x:v>
      </x:c>
      <x:c r="J7" s="9" t="n">
        <x:f>IFERROR(INDEX($C$12:$C$41,MATCH(3,$A$12:$A$41,0)),"")</x:f>
        <x:v>3</x:v>
      </x:c>
      <x:c r="K7" s="9" t="n">
        <x:f>IFERROR(INDEX($D$12:$D$41,MATCH(3,$A$12:$A$41,0)),"")</x:f>
        <x:v>1</x:v>
      </x:c>
      <x:c r="L7" s="9" t="n">
        <x:f>IFERROR(INDEX($E$12:$E$41,MATCH(3,$A$12:$A$41,0)),"")</x:f>
        <x:v>0</x:v>
      </x:c>
      <x:c r="M7" s="9"/>
      <x:c r="N7" s="9"/>
    </x:row>
    <x:row r="8" ht="30">
      <x:c r="A8" s="2" t="s">
        <x:v>12</x:v>
      </x:c>
      <x:c r="B8" s="10" t="n">
        <x:f>IFERROR(MAX(C12:C41),0)</x:f>
        <x:v>3</x:v>
      </x:c>
      <x:c r="C8" s="9"/>
      <x:c r="D8" s="9"/>
      <x:c r="E8" s="9"/>
      <x:c r="F8" s="9"/>
      <x:c r="G8" s="9"/>
      <x:c r="H8" s="9" t="n">
        <x:f>IFERROR(INDEX($A$12:$A$41,MATCH(4,$A$12:$A$41,0)),"")</x:f>
        <x:v>4</x:v>
      </x:c>
      <x:c r="I8" s="9" t="str">
        <x:f>IFERROR(INDEX($B$12:$B$41,MATCH(4,$A$12:$A$41,0)),"")</x:f>
        <x:v>Clabbe</x:v>
      </x:c>
      <x:c r="J8" s="9" t="n">
        <x:f>IFERROR(INDEX($C$12:$C$41,MATCH(4,$A$12:$A$41,0)),"")</x:f>
        <x:v>3</x:v>
      </x:c>
      <x:c r="K8" s="9" t="n">
        <x:f>IFERROR(INDEX($D$12:$D$41,MATCH(4,$A$12:$A$41,0)),"")</x:f>
        <x:v>1</x:v>
      </x:c>
      <x:c r="L8" s="9" t="n">
        <x:f>IFERROR(INDEX($E$12:$E$41,MATCH(4,$A$12:$A$41,0)),"")</x:f>
        <x:v>0</x:v>
      </x:c>
      <x:c r="M8" s="9"/>
      <x:c r="N8" s="9"/>
    </x:row>
    <x:row r="9">
      <x:c r="A9" s="9"/>
      <x:c r="B9" s="9"/>
      <x:c r="C9" s="9"/>
      <x:c r="D9" s="9"/>
      <x:c r="E9" s="9"/>
      <x:c r="F9" s="9"/>
      <x:c r="G9" s="9"/>
      <x:c r="H9" s="9" t="n">
        <x:f>IFERROR(INDEX($A$12:$A$41,MATCH(5,$A$12:$A$41,0)),"")</x:f>
        <x:v>5</x:v>
      </x:c>
      <x:c r="I9" s="9" t="str">
        <x:f>IFERROR(INDEX($B$12:$B$41,MATCH(5,$A$12:$A$41,0)),"")</x:f>
        <x:v>Dennis</x:v>
      </x:c>
      <x:c r="J9" s="9" t="n">
        <x:f>IFERROR(INDEX($C$12:$C$41,MATCH(5,$A$12:$A$41,0)),"")</x:f>
        <x:v>3</x:v>
      </x:c>
      <x:c r="K9" s="9" t="n">
        <x:f>IFERROR(INDEX($D$12:$D$41,MATCH(5,$A$12:$A$41,0)),"")</x:f>
        <x:v>1</x:v>
      </x:c>
      <x:c r="L9" s="9" t="n">
        <x:f>IFERROR(INDEX($E$12:$E$41,MATCH(5,$A$12:$A$41,0)),"")</x:f>
        <x:v>0</x:v>
      </x:c>
      <x:c r="M9" s="9"/>
      <x:c r="N9" s="9"/>
    </x:row>
    <x:row r="10">
      <x:c r="A10" s="9"/>
      <x:c r="B10" s="9"/>
      <x:c r="C10" s="9"/>
      <x:c r="D10" s="9"/>
      <x:c r="E10" s="9"/>
      <x:c r="F10" s="9"/>
      <x:c r="G10" s="9"/>
      <x:c r="H10" s="9" t="n">
        <x:f>IFERROR(INDEX($A$12:$A$41,MATCH(6,$A$12:$A$41,0)),"")</x:f>
        <x:v>6</x:v>
      </x:c>
      <x:c r="I10" s="9" t="str">
        <x:f>IFERROR(INDEX($B$12:$B$41,MATCH(6,$A$12:$A$41,0)),"")</x:f>
        <x:v>Nizze</x:v>
      </x:c>
      <x:c r="J10" s="9" t="n">
        <x:f>IFERROR(INDEX($C$12:$C$41,MATCH(6,$A$12:$A$41,0)),"")</x:f>
        <x:v>3</x:v>
      </x:c>
      <x:c r="K10" s="9" t="n">
        <x:f>IFERROR(INDEX($D$12:$D$41,MATCH(6,$A$12:$A$41,0)),"")</x:f>
        <x:v>1</x:v>
      </x:c>
      <x:c r="L10" s="9" t="n">
        <x:f>IFERROR(INDEX($E$12:$E$41,MATCH(6,$A$12:$A$41,0)),"")</x:f>
        <x:v>0</x:v>
      </x:c>
      <x:c r="M10" s="9"/>
      <x:c r="N10" s="9"/>
    </x:row>
    <x:row r="11" ht="15">
      <x:c r="A11" s="1" t="s">
        <x:v>13</x:v>
      </x:c>
      <x:c r="B11" s="1" t="s">
        <x:v>5</x:v>
      </x:c>
      <x:c r="C11" s="1" t="s">
        <x:v>6</x:v>
      </x:c>
      <x:c r="D11" s="1" t="s">
        <x:v>7</x:v>
      </x:c>
      <x:c r="E11" s="1" t="s">
        <x:v>8</x:v>
      </x:c>
      <x:c r="F11" s="1" t="s">
        <x:v>14</x:v>
      </x:c>
      <x:c r="G11" s="9"/>
      <x:c r="H11" s="9" t="n">
        <x:f>IFERROR(INDEX($A$12:$A$41,MATCH(7,$A$12:$A$41,0)),"")</x:f>
        <x:v>7</x:v>
      </x:c>
      <x:c r="I11" s="9" t="str">
        <x:f>IFERROR(INDEX($B$12:$B$41,MATCH(7,$A$12:$A$41,0)),"")</x:f>
        <x:v>Peter</x:v>
      </x:c>
      <x:c r="J11" s="9" t="n">
        <x:f>IFERROR(INDEX($C$12:$C$41,MATCH(7,$A$12:$A$41,0)),"")</x:f>
        <x:v>1</x:v>
      </x:c>
      <x:c r="K11" s="9" t="n">
        <x:f>IFERROR(INDEX($D$12:$D$41,MATCH(7,$A$12:$A$41,0)),"")</x:f>
        <x:v>0</x:v>
      </x:c>
      <x:c r="L11" s="9" t="n">
        <x:f>IFERROR(INDEX($E$12:$E$41,MATCH(7,$A$12:$A$41,0)),"")</x:f>
        <x:v>0</x:v>
      </x:c>
      <x:c r="M11" s="9"/>
      <x:c r="N11" s="9"/>
    </x:row>
    <x:row r="12">
      <x:c r="A12" s="11" t="n">
        <x:f>IF(C12="","",1+COUNTIF($C$12:$C$41,"&gt;"&amp;C12)+COUNTIFS($C$12:C12,C12)-1)</x:f>
        <x:v>1</x:v>
      </x:c>
      <x:c r="B12" s="11" t="str">
        <x:f>Ricardo!$B$2</x:f>
        <x:v>Ricardo</x:v>
      </x:c>
      <x:c r="C12" s="11" t="n">
        <x:f>Ricardo!$G$2</x:f>
        <x:v>3</x:v>
      </x:c>
      <x:c r="D12" s="11" t="n">
        <x:f>Ricardo!$J$2</x:f>
        <x:v>1</x:v>
      </x:c>
      <x:c r="E12" s="11" t="n">
        <x:f>Ricardo!$L$2</x:f>
        <x:v>0</x:v>
      </x:c>
      <x:c r="F12" s="11" t="s">
        <x:v>15</x:v>
      </x:c>
      <x:c r="G12" s="9"/>
      <x:c r="H12" s="9" t="n">
        <x:f>IFERROR(INDEX($A$12:$A$41,MATCH(8,$A$12:$A$41,0)),"")</x:f>
        <x:v>8</x:v>
      </x:c>
      <x:c r="I12" s="9" t="str">
        <x:f>IFERROR(INDEX($B$12:$B$41,MATCH(8,$A$12:$A$41,0)),"")</x:f>
        <x:v>Spelare 21</x:v>
      </x:c>
      <x:c r="J12" s="9" t="n">
        <x:f>IFERROR(INDEX($C$12:$C$41,MATCH(8,$A$12:$A$41,0)),"")</x:f>
        <x:v>1</x:v>
      </x:c>
      <x:c r="K12" s="9" t="n">
        <x:f>IFERROR(INDEX($D$12:$D$41,MATCH(8,$A$12:$A$41,0)),"")</x:f>
        <x:v>0</x:v>
      </x:c>
      <x:c r="L12" s="9" t="n">
        <x:f>IFERROR(INDEX($E$12:$E$41,MATCH(8,$A$12:$A$41,0)),"")</x:f>
        <x:v>0</x:v>
      </x:c>
      <x:c r="M12" s="9"/>
      <x:c r="N12" s="9"/>
    </x:row>
    <x:row r="13">
      <x:c r="A13" s="11" t="str">
        <x:f>IF(C13="","",1+COUNTIF($C$12:$C$41,"&gt;"&amp;C13)+COUNTIFS($C$12:C13,C13)-1)</x:f>
      </x:c>
      <x:c r="B13" s="11" t="str">
        <x:f>Janne!$B$2</x:f>
        <x:v>Janne</x:v>
      </x:c>
      <x:c r="C13" s="11" t="n">
        <x:f>Janne!$G$2</x:f>
        <x:v>0</x:v>
      </x:c>
      <x:c r="D13" s="11" t="n">
        <x:f>Janne!$J$2</x:f>
        <x:v>0</x:v>
      </x:c>
      <x:c r="E13" s="11" t="n">
        <x:f>Janne!$L$2</x:f>
        <x:v>0</x:v>
      </x:c>
      <x:c r="F13" s="11" t="s">
        <x:v>16</x:v>
      </x:c>
      <x:c r="G13" s="9"/>
      <x:c r="H13" s="9" t="n">
        <x:f>IFERROR(INDEX($A$12:$A$41,MATCH(9,$A$12:$A$41,0)),"")</x:f>
        <x:v>9</x:v>
      </x:c>
      <x:c r="I13" s="9" t="str">
        <x:f>IFERROR(INDEX($B$12:$B$41,MATCH(9,$A$12:$A$41,0)),"")</x:f>
        <x:v>Spelare 22</x:v>
      </x:c>
      <x:c r="J13" s="9" t="n">
        <x:f>IFERROR(INDEX($C$12:$C$41,MATCH(9,$A$12:$A$41,0)),"")</x:f>
        <x:v>1</x:v>
      </x:c>
      <x:c r="K13" s="9" t="n">
        <x:f>IFERROR(INDEX($D$12:$D$41,MATCH(9,$A$12:$A$41,0)),"")</x:f>
        <x:v>0</x:v>
      </x:c>
      <x:c r="L13" s="9" t="n">
        <x:f>IFERROR(INDEX($E$12:$E$41,MATCH(9,$A$12:$A$41,0)),"")</x:f>
        <x:v>0</x:v>
      </x:c>
      <x:c r="M13" s="9"/>
      <x:c r="N13" s="9"/>
    </x:row>
    <x:row r="14">
      <x:c r="A14" s="11" t="str">
        <x:f>IF(C14="","",1+COUNTIF($C$12:$C$41,"&gt;"&amp;C14)+COUNTIFS($C$12:C14,C14)-1)</x:f>
      </x:c>
      <x:c r="B14" s="11" t="str">
        <x:f>Bosse!$B$2</x:f>
        <x:v>Bosse</x:v>
      </x:c>
      <x:c r="C14" s="11" t="n">
        <x:f>Bosse!$G$2</x:f>
        <x:v>0</x:v>
      </x:c>
      <x:c r="D14" s="11" t="n">
        <x:f>Bosse!$J$2</x:f>
        <x:v>0</x:v>
      </x:c>
      <x:c r="E14" s="11" t="n">
        <x:f>Bosse!$L$2</x:f>
        <x:v>0</x:v>
      </x:c>
      <x:c r="F14" s="11" t="s">
        <x:v>17</x:v>
      </x:c>
      <x:c r="G14" s="9"/>
      <x:c r="H14" s="9" t="n">
        <x:f>IFERROR(INDEX($A$12:$A$41,MATCH(10,$A$12:$A$41,0)),"")</x:f>
        <x:v>10</x:v>
      </x:c>
      <x:c r="I14" s="9" t="str">
        <x:f>IFERROR(INDEX($B$12:$B$41,MATCH(10,$A$12:$A$41,0)),"")</x:f>
        <x:v>Spelare 23</x:v>
      </x:c>
      <x:c r="J14" s="9" t="n">
        <x:f>IFERROR(INDEX($C$12:$C$41,MATCH(10,$A$12:$A$41,0)),"")</x:f>
        <x:v>1</x:v>
      </x:c>
      <x:c r="K14" s="9" t="n">
        <x:f>IFERROR(INDEX($D$12:$D$41,MATCH(10,$A$12:$A$41,0)),"")</x:f>
        <x:v>0</x:v>
      </x:c>
      <x:c r="L14" s="9" t="n">
        <x:f>IFERROR(INDEX($E$12:$E$41,MATCH(10,$A$12:$A$41,0)),"")</x:f>
        <x:v>0</x:v>
      </x:c>
      <x:c r="M14" s="9"/>
      <x:c r="N14" s="9"/>
    </x:row>
    <x:row r="15">
      <x:c r="A15" s="11" t="n">
        <x:f>IF(C15="","",1+COUNTIF($C$12:$C$41,"&gt;"&amp;C15)+COUNTIFS($C$12:C15,C15)-1)</x:f>
        <x:v>2</x:v>
      </x:c>
      <x:c r="B15" s="11" t="str">
        <x:f>Stina!$B$2</x:f>
        <x:v>Stina</x:v>
      </x:c>
      <x:c r="C15" s="11" t="n">
        <x:f>Stina!$G$2</x:f>
        <x:v>3</x:v>
      </x:c>
      <x:c r="D15" s="11" t="n">
        <x:f>Stina!$J$2</x:f>
        <x:v>1</x:v>
      </x:c>
      <x:c r="E15" s="11" t="n">
        <x:f>Stina!$L$2</x:f>
        <x:v>0</x:v>
      </x:c>
      <x:c r="F15" s="11" t="s">
        <x:v>18</x:v>
      </x:c>
      <x:c r="G15" s="9"/>
      <x:c r="H15" s="9"/>
      <x:c r="I15" s="9"/>
      <x:c r="J15" s="9"/>
      <x:c r="K15" s="9"/>
      <x:c r="L15" s="9"/>
      <x:c r="M15" s="9"/>
      <x:c r="N15" s="9"/>
    </x:row>
    <x:row r="16">
      <x:c r="A16" s="11" t="n">
        <x:f>IF(C16="","",1+COUNTIF($C$12:$C$41,"&gt;"&amp;C16)+COUNTIFS($C$12:C16,C16)-1)</x:f>
        <x:v>3</x:v>
      </x:c>
      <x:c r="B16" s="11" t="str">
        <x:f>Robban!$B$2</x:f>
        <x:v>Robban</x:v>
      </x:c>
      <x:c r="C16" s="11" t="n">
        <x:f>Robban!$G$2</x:f>
        <x:v>3</x:v>
      </x:c>
      <x:c r="D16" s="11" t="n">
        <x:f>Robban!$J$2</x:f>
        <x:v>1</x:v>
      </x:c>
      <x:c r="E16" s="11" t="n">
        <x:f>Robban!$L$2</x:f>
        <x:v>0</x:v>
      </x:c>
      <x:c r="F16" s="11" t="s">
        <x:v>19</x:v>
      </x:c>
      <x:c r="G16" s="9"/>
      <x:c r="H16" s="9"/>
      <x:c r="I16" s="9"/>
      <x:c r="J16" s="9"/>
      <x:c r="K16" s="9"/>
      <x:c r="L16" s="9"/>
      <x:c r="M16" s="9"/>
      <x:c r="N16" s="9"/>
    </x:row>
    <x:row r="17" ht="15">
      <x:c r="A17" s="11" t="str">
        <x:f>IF(C17="","",1+COUNTIF($C$12:$C$41,"&gt;"&amp;C17)+COUNTIFS($C$12:C17,C17)-1)</x:f>
      </x:c>
      <x:c r="B17" s="11" t="str">
        <x:f>Chrille!$B$2</x:f>
        <x:v>Chrille</x:v>
      </x:c>
      <x:c r="C17" s="11" t="n">
        <x:f>Chrille!$G$2</x:f>
        <x:v>0</x:v>
      </x:c>
      <x:c r="D17" s="11" t="n">
        <x:f>Chrille!$J$2</x:f>
        <x:v>0</x:v>
      </x:c>
      <x:c r="E17" s="11" t="n">
        <x:f>Chrille!$L$2</x:f>
        <x:v>0</x:v>
      </x:c>
      <x:c r="F17" s="11" t="s">
        <x:v>20</x:v>
      </x:c>
      <x:c r="G17" s="9"/>
      <x:c r="H17" s="27" t="s">
        <x:v>21</x:v>
      </x:c>
      <x:c r="I17" s="26"/>
      <x:c r="J17" s="26"/>
      <x:c r="K17" s="26"/>
      <x:c r="L17" s="26"/>
      <x:c r="M17" s="26"/>
      <x:c r="N17" s="26"/>
    </x:row>
    <x:row r="18" ht="30">
      <x:c r="A18" s="11" t="str">
        <x:f>IF(C18="","",1+COUNTIF($C$12:$C$41,"&gt;"&amp;C18)+COUNTIFS($C$12:C18,C18)-1)</x:f>
      </x:c>
      <x:c r="B18" s="11" t="str">
        <x:f>'John T.'!$B$2</x:f>
        <x:v>John T.</x:v>
      </x:c>
      <x:c r="C18" s="11" t="n">
        <x:f>'John T.'!$G$2</x:f>
        <x:v>0</x:v>
      </x:c>
      <x:c r="D18" s="11" t="n">
        <x:f>'John T.'!$J$2</x:f>
        <x:v>0</x:v>
      </x:c>
      <x:c r="E18" s="11" t="n">
        <x:f>'John T.'!$L$2</x:f>
        <x:v>0</x:v>
      </x:c>
      <x:c r="F18" s="11" t="s">
        <x:v>22</x:v>
      </x:c>
      <x:c r="G18" s="9"/>
      <x:c r="H18" s="1" t="s">
        <x:v>23</x:v>
      </x:c>
      <x:c r="I18" s="1" t="s">
        <x:v>24</x:v>
      </x:c>
      <x:c r="J18" s="1"/>
      <x:c r="K18" s="1" t="s">
        <x:v>25</x:v>
      </x:c>
      <x:c r="L18" s="1" t="s">
        <x:v>26</x:v>
      </x:c>
      <x:c r="M18" s="1" t="s">
        <x:v>27</x:v>
      </x:c>
      <x:c r="N18" s="1" t="s">
        <x:v>26</x:v>
      </x:c>
    </x:row>
    <x:row r="19">
      <x:c r="A19" s="11" t="n">
        <x:f>IF(C19="","",1+COUNTIF($C$12:$C$41,"&gt;"&amp;C19)+COUNTIFS($C$12:C19,C19)-1)</x:f>
        <x:v>4</x:v>
      </x:c>
      <x:c r="B19" s="11" t="str">
        <x:f>Clabbe!$B$2</x:f>
        <x:v>Clabbe</x:v>
      </x:c>
      <x:c r="C19" s="11" t="n">
        <x:f>Clabbe!$G$2</x:f>
        <x:v>3</x:v>
      </x:c>
      <x:c r="D19" s="11" t="n">
        <x:f>Clabbe!$J$2</x:f>
        <x:v>1</x:v>
      </x:c>
      <x:c r="E19" s="11" t="n">
        <x:f>Clabbe!$L$2</x:f>
        <x:v>0</x:v>
      </x:c>
      <x:c r="F19" s="11" t="s">
        <x:v>28</x:v>
      </x:c>
      <x:c r="G19" s="9"/>
      <x:c r="H19" s="9" t="s">
        <x:v>29</x:v>
      </x:c>
      <x:c r="I19" s="9" t="n">
        <x:f>(COUNT(Ricardo!I7:J110)+COUNT(Janne!I7:J110)+COUNT(Bosse!I7:J110)+COUNT(Stina!I7:J110)+COUNT(Robban!I7:J110)+COUNT(Chrille!I7:J110)+COUNT('John T.'!I7:J110)+COUNT(Clabbe!I7:J110)+COUNT(Dennis!I7:J110)+COUNT(Monfors!I7:J110)+COUNT('Anders D.'!I7:J110)+COUNT(Evelina!I7:J110)+COUNT(Nizze!I7:J110)+COUNT(Sorken!I7:J110)+COUNT(Peter!I7:J110)+COUNT(Antonia!I7:J110)+COUNT('Niklas A.'!I7:J110)+COUNT('Thomas B.'!I7:J110)+COUNT(Micke!I7:J110)+COUNT(Robin!I7:J110)+COUNT('Spelare 21'!I7:J110)+COUNT('Spelare 22'!I7:J110)+COUNT('Spelare 23'!I7:J110)+COUNT('Spelare 24'!I7:J110)+COUNT('Spelare 25'!I7:J110)+COUNT('Spelare 26'!I7:J110)+COUNT('Spelare 27'!I7:J110)+COUNT('Spelare 28'!I7:J110)+COUNT('Spelare 29'!I7:J110)+COUNT('Spelare 30'!I7:J110))/2</x:f>
        <x:v>2080</x:v>
      </x:c>
      <x:c r="J19" s="9"/>
      <x:c r="K19" s="9" t="s">
        <x:v>30</x:v>
      </x:c>
      <x:c r="L19" s="9" t="n">
        <x:f>COUNTIF(Ricardo!K7:K110,"1")+COUNTIF(Janne!K7:K110,"1")+COUNTIF(Bosse!K7:K110,"1")+COUNTIF(Stina!K7:K110,"1")+COUNTIF(Robban!K7:K110,"1")+COUNTIF(Chrille!K7:K110,"1")+COUNTIF('John T.'!K7:K110,"1")+COUNTIF(Clabbe!K7:K110,"1")+COUNTIF(Dennis!K7:K110,"1")+COUNTIF(Monfors!K7:K110,"1")+COUNTIF('Anders D.'!K7:K110,"1")+COUNTIF(Evelina!K7:K110,"1")+COUNTIF(Nizze!K7:K110,"1")+COUNTIF(Sorken!K7:K110,"1")+COUNTIF(Peter!K7:K110,"1")+COUNTIF(Antonia!K7:K110,"1")+COUNTIF('Niklas A.'!K7:K110,"1")+COUNTIF('Thomas B.'!K7:K110,"1")+COUNTIF(Micke!K7:K110,"1")+COUNTIF(Robin!K7:K110,"1")+COUNTIF('Spelare 21'!K7:K110,"1")+COUNTIF('Spelare 22'!K7:K110,"1")+COUNTIF('Spelare 23'!K7:K110,"1")+COUNTIF('Spelare 24'!K7:K110,"1")+COUNTIF('Spelare 25'!K7:K110,"1")+COUNTIF('Spelare 26'!K7:K110,"1")+COUNTIF('Spelare 27'!K7:K110,"1")+COUNTIF('Spelare 28'!K7:K110,"1")+COUNTIF('Spelare 29'!K7:K110,"1")+COUNTIF('Spelare 30'!K7:K110,"1")</x:f>
        <x:v>944</x:v>
      </x:c>
      <x:c r="M19" s="9" t="s">
        <x:v>31</x:v>
      </x:c>
      <x:c r="N19" s="9" t="n">
        <x:f>COUNTIF(Ricardo!I7:J110,0)+COUNTIF(Janne!I7:J110,0)+COUNTIF(Bosse!I7:J110,0)+COUNTIF(Stina!I7:J110,0)+COUNTIF(Robban!I7:J110,0)+COUNTIF(Chrille!I7:J110,0)+COUNTIF('John T.'!I7:J110,0)+COUNTIF(Clabbe!I7:J110,0)+COUNTIF(Dennis!I7:J110,0)+COUNTIF(Monfors!I7:J110,0)+COUNTIF('Anders D.'!I7:J110,0)+COUNTIF(Evelina!I7:J110,0)+COUNTIF(Nizze!I7:J110,0)+COUNTIF(Sorken!I7:J110,0)+COUNTIF(Peter!I7:J110,0)+COUNTIF(Antonia!I7:J110,0)+COUNTIF('Niklas A.'!I7:J110,0)+COUNTIF('Thomas B.'!I7:J110,0)+COUNTIF(Micke!I7:J110,0)+COUNTIF(Robin!I7:J110,0)+COUNTIF('Spelare 21'!I7:J110,0)+COUNTIF('Spelare 22'!I7:J110,0)+COUNTIF('Spelare 23'!I7:J110,0)+COUNTIF('Spelare 24'!I7:J110,0)+COUNTIF('Spelare 25'!I7:J110,0)+COUNTIF('Spelare 26'!I7:J110,0)+COUNTIF('Spelare 27'!I7:J110,0)+COUNTIF('Spelare 28'!I7:J110,0)+COUNTIF('Spelare 29'!I7:J110,0)+COUNTIF('Spelare 30'!I7:J110,0)</x:f>
        <x:v>1195</x:v>
      </x:c>
    </x:row>
    <x:row r="20">
      <x:c r="A20" s="11" t="n">
        <x:f>IF(C20="","",1+COUNTIF($C$12:$C$41,"&gt;"&amp;C20)+COUNTIFS($C$12:C20,C20)-1)</x:f>
        <x:v>5</x:v>
      </x:c>
      <x:c r="B20" s="11" t="str">
        <x:f>Dennis!$B$2</x:f>
        <x:v>Dennis</x:v>
      </x:c>
      <x:c r="C20" s="11" t="n">
        <x:f>Dennis!$G$2</x:f>
        <x:v>3</x:v>
      </x:c>
      <x:c r="D20" s="11" t="n">
        <x:f>Dennis!$J$2</x:f>
        <x:v>1</x:v>
      </x:c>
      <x:c r="E20" s="11" t="n">
        <x:f>Dennis!$L$2</x:f>
        <x:v>0</x:v>
      </x:c>
      <x:c r="F20" s="11" t="s">
        <x:v>32</x:v>
      </x:c>
      <x:c r="G20" s="9"/>
      <x:c r="H20" s="9" t="s">
        <x:v>33</x:v>
      </x:c>
      <x:c r="I20" s="18" t="n">
        <x:f>IFERROR((SUM(Ricardo!I7:J110)+SUM(Janne!I7:J110)+SUM(Bosse!I7:J110)+SUM(Stina!I7:J110)+SUM(Robban!I7:J110)+SUM(Chrille!I7:J110)+SUM('John T.'!I7:J110)+SUM(Clabbe!I7:J110)+SUM(Dennis!I7:J110)+SUM(Monfors!I7:J110)+SUM('Anders D.'!I7:J110)+SUM(Evelina!I7:J110)+SUM(Nizze!I7:J110)+SUM(Sorken!I7:J110)+SUM(Peter!I7:J110)+SUM(Antonia!I7:J110)+SUM('Niklas A.'!I7:J110)+SUM('Thomas B.'!I7:J110)+SUM(Micke!I7:J110)+SUM(Robin!I7:J110)+SUM('Spelare 21'!I7:J110)+SUM('Spelare 22'!I7:J110)+SUM('Spelare 23'!I7:J110)+SUM('Spelare 24'!I7:J110)+SUM('Spelare 25'!I7:J110)+SUM('Spelare 26'!I7:J110)+SUM('Spelare 27'!I7:J110)+SUM('Spelare 28'!I7:J110)+SUM('Spelare 29'!I7:J110)+SUM('Spelare 30'!I7:J110))/(COUNT(Ricardo!I7:J110)+COUNT(Janne!I7:J110)+COUNT(Bosse!I7:J110)+COUNT(Stina!I7:J110)+COUNT(Robban!I7:J110)+COUNT(Chrille!I7:J110)+COUNT('John T.'!I7:J110)+COUNT(Clabbe!I7:J110)+COUNT(Dennis!I7:J110)+COUNT(Monfors!I7:J110)+COUNT('Anders D.'!I7:J110)+COUNT(Evelina!I7:J110)+COUNT(Nizze!I7:J110)+COUNT(Sorken!I7:J110)+COUNT(Peter!I7:J110)+COUNT(Antonia!I7:J110)+COUNT('Niklas A.'!I7:J110)+COUNT('Thomas B.'!I7:J110)+COUNT(Micke!I7:J110)+COUNT(Robin!I7:J110)+COUNT('Spelare 21'!I7:J110)+COUNT('Spelare 22'!I7:J110)+COUNT('Spelare 23'!I7:J110)+COUNT('Spelare 24'!I7:J110)+COUNT('Spelare 25'!I7:J110)+COUNT('Spelare 26'!I7:J110)+COUNT('Spelare 27'!I7:J110)+COUNT('Spelare 28'!I7:J110)+COUNT('Spelare 29'!I7:J110)+COUNT('Spelare 30'!I7:J110)/2),0)</x:f>
        <x:v>1.1795673076923077</x:v>
      </x:c>
      <x:c r="J20" s="9"/>
      <x:c r="K20" s="9" t="s">
        <x:v>34</x:v>
      </x:c>
      <x:c r="L20" s="9" t="n">
        <x:f>COUNTIF(Ricardo!K7:K110,"X")+COUNTIF(Janne!K7:K110,"X")+COUNTIF(Bosse!K7:K110,"X")+COUNTIF(Stina!K7:K110,"X")+COUNTIF(Robban!K7:K110,"X")+COUNTIF(Chrille!K7:K110,"X")+COUNTIF('John T.'!K7:K110,"X")+COUNTIF(Clabbe!K7:K110,"X")+COUNTIF(Dennis!K7:K110,"X")+COUNTIF(Monfors!K7:K110,"X")+COUNTIF('Anders D.'!K7:K110,"X")+COUNTIF(Evelina!K7:K110,"X")+COUNTIF(Nizze!K7:K110,"X")+COUNTIF(Sorken!K7:K110,"X")+COUNTIF(Peter!K7:K110,"X")+COUNTIF(Antonia!K7:K110,"X")+COUNTIF('Niklas A.'!K7:K110,"X")+COUNTIF('Thomas B.'!K7:K110,"X")+COUNTIF(Micke!K7:K110,"X")+COUNTIF(Robin!K7:K110,"X")+COUNTIF('Spelare 21'!K7:K110,"X")+COUNTIF('Spelare 22'!K7:K110,"X")+COUNTIF('Spelare 23'!K7:K110,"X")+COUNTIF('Spelare 24'!K7:K110,"X")+COUNTIF('Spelare 25'!K7:K110,"X")+COUNTIF('Spelare 26'!K7:K110,"X")+COUNTIF('Spelare 27'!K7:K110,"X")+COUNTIF('Spelare 28'!K7:K110,"X")+COUNTIF('Spelare 29'!K7:K110,"X")+COUNTIF('Spelare 30'!K7:K110,"X")</x:f>
        <x:v>529</x:v>
      </x:c>
      <x:c r="M20" s="9" t="s">
        <x:v>30</x:v>
      </x:c>
      <x:c r="N20" s="9" t="n">
        <x:f>COUNTIF(Ricardo!I7:J110,1)+COUNTIF(Janne!I7:J110,1)+COUNTIF(Bosse!I7:J110,1)+COUNTIF(Stina!I7:J110,1)+COUNTIF(Robban!I7:J110,1)+COUNTIF(Chrille!I7:J110,1)+COUNTIF('John T.'!I7:J110,1)+COUNTIF(Clabbe!I7:J110,1)+COUNTIF(Dennis!I7:J110,1)+COUNTIF(Monfors!I7:J110,1)+COUNTIF('Anders D.'!I7:J110,1)+COUNTIF(Evelina!I7:J110,1)+COUNTIF(Nizze!I7:J110,1)+COUNTIF(Sorken!I7:J110,1)+COUNTIF(Peter!I7:J110,1)+COUNTIF(Antonia!I7:J110,1)+COUNTIF('Niklas A.'!I7:J110,1)+COUNTIF('Thomas B.'!I7:J110,1)+COUNTIF(Micke!I7:J110,1)+COUNTIF(Robin!I7:J110,1)+COUNTIF('Spelare 21'!I7:J110,1)+COUNTIF('Spelare 22'!I7:J110,1)+COUNTIF('Spelare 23'!I7:J110,1)+COUNTIF('Spelare 24'!I7:J110,1)+COUNTIF('Spelare 25'!I7:J110,1)+COUNTIF('Spelare 26'!I7:J110,1)+COUNTIF('Spelare 27'!I7:J110,1)+COUNTIF('Spelare 28'!I7:J110,1)+COUNTIF('Spelare 29'!I7:J110,1)+COUNTIF('Spelare 30'!I7:J110,1)</x:f>
        <x:v>1477</x:v>
      </x:c>
    </x:row>
    <x:row r="21">
      <x:c r="A21" s="11" t="str">
        <x:f>IF(C21="","",1+COUNTIF($C$12:$C$41,"&gt;"&amp;C21)+COUNTIFS($C$12:C21,C21)-1)</x:f>
      </x:c>
      <x:c r="B21" s="11" t="str">
        <x:f>Monfors!$B$2</x:f>
        <x:v>A. Monfors</x:v>
      </x:c>
      <x:c r="C21" s="11" t="n">
        <x:f>Monfors!$G$2</x:f>
        <x:v>0</x:v>
      </x:c>
      <x:c r="D21" s="11" t="n">
        <x:f>Monfors!$J$2</x:f>
        <x:v>0</x:v>
      </x:c>
      <x:c r="E21" s="11" t="n">
        <x:f>Monfors!$L$2</x:f>
        <x:v>0</x:v>
      </x:c>
      <x:c r="F21" s="11" t="s">
        <x:v>35</x:v>
      </x:c>
      <x:c r="G21" s="9"/>
      <x:c r="H21" s="9" t="s">
        <x:v>36</x:v>
      </x:c>
      <x:c r="I21" s="9" t="n">
        <x:f>COUNTIF(Ricardo!K7:K110,"1")+COUNTIF(Janne!K7:K110,"1")+COUNTIF(Bosse!K7:K110,"1")+COUNTIF(Stina!K7:K110,"1")+COUNTIF(Robban!K7:K110,"1")+COUNTIF(Chrille!K7:K110,"1")+COUNTIF('John T.'!K7:K110,"1")+COUNTIF(Clabbe!K7:K110,"1")+COUNTIF(Dennis!K7:K110,"1")+COUNTIF(Monfors!K7:K110,"1")+COUNTIF('Anders D.'!K7:K110,"1")+COUNTIF(Evelina!K7:K110,"1")+COUNTIF(Nizze!K7:K110,"1")+COUNTIF(Sorken!K7:K110,"1")+COUNTIF(Peter!K7:K110,"1")+COUNTIF(Antonia!K7:K110,"1")+COUNTIF('Niklas A.'!K7:K110,"1")+COUNTIF('Thomas B.'!K7:K110,"1")+COUNTIF(Micke!K7:K110,"1")+COUNTIF(Robin!K7:K110,"1")+COUNTIF('Spelare 21'!K7:K110,"1")+COUNTIF('Spelare 22'!K7:K110,"1")+COUNTIF('Spelare 23'!K7:K110,"1")+COUNTIF('Spelare 24'!K7:K110,"1")+COUNTIF('Spelare 25'!K7:K110,"1")+COUNTIF('Spelare 26'!K7:K110,"1")+COUNTIF('Spelare 27'!K7:K110,"1")+COUNTIF('Spelare 28'!K7:K110,"1")+COUNTIF('Spelare 29'!K7:K110,"1")+COUNTIF('Spelare 30'!K7:K110,"1")</x:f>
        <x:v>944</x:v>
      </x:c>
      <x:c r="J21" s="9"/>
      <x:c r="K21" s="9" t="s">
        <x:v>37</x:v>
      </x:c>
      <x:c r="L21" s="9" t="n">
        <x:f>COUNTIF(Ricardo!K7:K110,"2")+COUNTIF(Janne!K7:K110,"2")+COUNTIF(Bosse!K7:K110,"2")+COUNTIF(Stina!K7:K110,"2")+COUNTIF(Robban!K7:K110,"2")+COUNTIF(Chrille!K7:K110,"2")+COUNTIF('John T.'!K7:K110,"2")+COUNTIF(Clabbe!K7:K110,"2")+COUNTIF(Dennis!K7:K110,"2")+COUNTIF(Monfors!K7:K110,"2")+COUNTIF('Anders D.'!K7:K110,"2")+COUNTIF(Evelina!K7:K110,"2")+COUNTIF(Nizze!K7:K110,"2")+COUNTIF(Sorken!K7:K110,"2")+COUNTIF(Peter!K7:K110,"2")+COUNTIF(Antonia!K7:K110,"2")+COUNTIF('Niklas A.'!K7:K110,"2")+COUNTIF('Thomas B.'!K7:K110,"2")+COUNTIF(Micke!K7:K110,"2")+COUNTIF(Robin!K7:K110,"2")+COUNTIF('Spelare 21'!K7:K110,"2")+COUNTIF('Spelare 22'!K7:K110,"2")+COUNTIF('Spelare 23'!K7:K110,"2")+COUNTIF('Spelare 24'!K7:K110,"2")+COUNTIF('Spelare 25'!K7:K110,"2")+COUNTIF('Spelare 26'!K7:K110,"2")+COUNTIF('Spelare 27'!K7:K110,"2")+COUNTIF('Spelare 28'!K7:K110,"2")+COUNTIF('Spelare 29'!K7:K110,"2")+COUNTIF('Spelare 30'!K7:K110,"2")</x:f>
        <x:v>580</x:v>
      </x:c>
      <x:c r="M21" s="9" t="s">
        <x:v>37</x:v>
      </x:c>
      <x:c r="N21" s="9" t="n">
        <x:f>COUNTIF(Ricardo!I7:J110,2)+COUNTIF(Janne!I7:J110,2)+COUNTIF(Bosse!I7:J110,2)+COUNTIF(Stina!I7:J110,2)+COUNTIF(Robban!I7:J110,2)+COUNTIF(Chrille!I7:J110,2)+COUNTIF('John T.'!I7:J110,2)+COUNTIF(Clabbe!I7:J110,2)+COUNTIF(Dennis!I7:J110,2)+COUNTIF(Monfors!I7:J110,2)+COUNTIF('Anders D.'!I7:J110,2)+COUNTIF(Evelina!I7:J110,2)+COUNTIF(Nizze!I7:J110,2)+COUNTIF(Sorken!I7:J110,2)+COUNTIF(Peter!I7:J110,2)+COUNTIF(Antonia!I7:J110,2)+COUNTIF('Niklas A.'!I7:J110,2)+COUNTIF('Thomas B.'!I7:J110,2)+COUNTIF(Micke!I7:J110,2)+COUNTIF(Robin!I7:J110,2)+COUNTIF('Spelare 21'!I7:J110,2)+COUNTIF('Spelare 22'!I7:J110,2)+COUNTIF('Spelare 23'!I7:J110,2)+COUNTIF('Spelare 24'!I7:J110,2)+COUNTIF('Spelare 25'!I7:J110,2)+COUNTIF('Spelare 26'!I7:J110,2)+COUNTIF('Spelare 27'!I7:J110,2)+COUNTIF('Spelare 28'!I7:J110,2)+COUNTIF('Spelare 29'!I7:J110,2)+COUNTIF('Spelare 30'!I7:J110,2)</x:f>
        <x:v>1120</x:v>
      </x:c>
    </x:row>
    <x:row r="22">
      <x:c r="A22" s="11" t="str">
        <x:f>IF(C22="","",1+COUNTIF($C$12:$C$41,"&gt;"&amp;C22)+COUNTIFS($C$12:C22,C22)-1)</x:f>
      </x:c>
      <x:c r="B22" s="11" t="str">
        <x:f>'Anders D.'!$B$2</x:f>
        <x:v>Anders D.</x:v>
      </x:c>
      <x:c r="C22" s="11" t="n">
        <x:f>'Anders D.'!$G$2</x:f>
        <x:v>0</x:v>
      </x:c>
      <x:c r="D22" s="11" t="n">
        <x:f>'Anders D.'!$J$2</x:f>
        <x:v>0</x:v>
      </x:c>
      <x:c r="E22" s="11" t="n">
        <x:f>'Anders D.'!$L$2</x:f>
        <x:v>0</x:v>
      </x:c>
      <x:c r="F22" s="11" t="s">
        <x:v>38</x:v>
      </x:c>
      <x:c r="G22" s="9"/>
      <x:c r="H22" s="9" t="s">
        <x:v>39</x:v>
      </x:c>
      <x:c r="I22" s="9" t="n">
        <x:f>COUNTIF(Ricardo!K7:K110,"X")+COUNTIF(Janne!K7:K110,"X")+COUNTIF(Bosse!K7:K110,"X")+COUNTIF(Stina!K7:K110,"X")+COUNTIF(Robban!K7:K110,"X")+COUNTIF(Chrille!K7:K110,"X")+COUNTIF('John T.'!K7:K110,"X")+COUNTIF(Clabbe!K7:K110,"X")+COUNTIF(Dennis!K7:K110,"X")+COUNTIF(Monfors!K7:K110,"X")+COUNTIF('Anders D.'!K7:K110,"X")+COUNTIF(Evelina!K7:K110,"X")+COUNTIF(Nizze!K7:K110,"X")+COUNTIF(Sorken!K7:K110,"X")+COUNTIF(Peter!K7:K110,"X")+COUNTIF(Antonia!K7:K110,"X")+COUNTIF('Niklas A.'!K7:K110,"X")+COUNTIF('Thomas B.'!K7:K110,"X")+COUNTIF(Micke!K7:K110,"X")+COUNTIF(Robin!K7:K110,"X")+COUNTIF('Spelare 21'!K7:K110,"X")+COUNTIF('Spelare 22'!K7:K110,"X")+COUNTIF('Spelare 23'!K7:K110,"X")+COUNTIF('Spelare 24'!K7:K110,"X")+COUNTIF('Spelare 25'!K7:K110,"X")+COUNTIF('Spelare 26'!K7:K110,"X")+COUNTIF('Spelare 27'!K7:K110,"X")+COUNTIF('Spelare 28'!K7:K110,"X")+COUNTIF('Spelare 29'!K7:K110,"X")+COUNTIF('Spelare 30'!K7:K110,"X")</x:f>
        <x:v>529</x:v>
      </x:c>
      <x:c r="J22" s="9"/>
      <x:c r="K22" s="9"/>
      <x:c r="L22" s="9"/>
      <x:c r="M22" s="9" t="s">
        <x:v>40</x:v>
      </x:c>
      <x:c r="N22" s="9" t="n">
        <x:f>COUNTIF(Ricardo!I7:J110,3)+COUNTIF(Janne!I7:J110,3)+COUNTIF(Bosse!I7:J110,3)+COUNTIF(Stina!I7:J110,3)+COUNTIF(Robban!I7:J110,3)+COUNTIF(Chrille!I7:J110,3)+COUNTIF('John T.'!I7:J110,3)+COUNTIF(Clabbe!I7:J110,3)+COUNTIF(Dennis!I7:J110,3)+COUNTIF(Monfors!I7:J110,3)+COUNTIF('Anders D.'!I7:J110,3)+COUNTIF(Evelina!I7:J110,3)+COUNTIF(Nizze!I7:J110,3)+COUNTIF(Sorken!I7:J110,3)+COUNTIF(Peter!I7:J110,3)+COUNTIF(Antonia!I7:J110,3)+COUNTIF('Niklas A.'!I7:J110,3)+COUNTIF('Thomas B.'!I7:J110,3)+COUNTIF(Micke!I7:J110,3)+COUNTIF(Robin!I7:J110,3)+COUNTIF('Spelare 21'!I7:J110,3)+COUNTIF('Spelare 22'!I7:J110,3)+COUNTIF('Spelare 23'!I7:J110,3)+COUNTIF('Spelare 24'!I7:J110,3)+COUNTIF('Spelare 25'!I7:J110,3)+COUNTIF('Spelare 26'!I7:J110,3)+COUNTIF('Spelare 27'!I7:J110,3)+COUNTIF('Spelare 28'!I7:J110,3)+COUNTIF('Spelare 29'!I7:J110,3)+COUNTIF('Spelare 30'!I7:J110,3)</x:f>
        <x:v>303</x:v>
      </x:c>
    </x:row>
    <x:row r="23">
      <x:c r="A23" s="11" t="str">
        <x:f>IF(C23="","",1+COUNTIF($C$12:$C$41,"&gt;"&amp;C23)+COUNTIFS($C$12:C23,C23)-1)</x:f>
      </x:c>
      <x:c r="B23" s="11" t="str">
        <x:f>Evelina!$B$2</x:f>
        <x:v>Eve</x:v>
      </x:c>
      <x:c r="C23" s="11" t="n">
        <x:f>Evelina!$G$2</x:f>
        <x:v>0</x:v>
      </x:c>
      <x:c r="D23" s="11" t="n">
        <x:f>Evelina!$J$2</x:f>
        <x:v>0</x:v>
      </x:c>
      <x:c r="E23" s="11" t="n">
        <x:f>Evelina!$L$2</x:f>
        <x:v>0</x:v>
      </x:c>
      <x:c r="F23" s="11" t="s">
        <x:v>41</x:v>
      </x:c>
      <x:c r="G23" s="9"/>
      <x:c r="H23" s="9" t="s">
        <x:v>42</x:v>
      </x:c>
      <x:c r="I23" s="9" t="n">
        <x:f>COUNTIF(Ricardo!K7:K110,"2")+COUNTIF(Janne!K7:K110,"2")+COUNTIF(Bosse!K7:K110,"2")+COUNTIF(Stina!K7:K110,"2")+COUNTIF(Robban!K7:K110,"2")+COUNTIF(Chrille!K7:K110,"2")+COUNTIF('John T.'!K7:K110,"2")+COUNTIF(Clabbe!K7:K110,"2")+COUNTIF(Dennis!K7:K110,"2")+COUNTIF(Monfors!K7:K110,"2")+COUNTIF('Anders D.'!K7:K110,"2")+COUNTIF(Evelina!K7:K110,"2")+COUNTIF(Nizze!K7:K110,"2")+COUNTIF(Sorken!K7:K110,"2")+COUNTIF(Peter!K7:K110,"2")+COUNTIF(Antonia!K7:K110,"2")+COUNTIF('Niklas A.'!K7:K110,"2")+COUNTIF('Thomas B.'!K7:K110,"2")+COUNTIF(Micke!K7:K110,"2")+COUNTIF(Robin!K7:K110,"2")+COUNTIF('Spelare 21'!K7:K110,"2")+COUNTIF('Spelare 22'!K7:K110,"2")+COUNTIF('Spelare 23'!K7:K110,"2")+COUNTIF('Spelare 24'!K7:K110,"2")+COUNTIF('Spelare 25'!K7:K110,"2")+COUNTIF('Spelare 26'!K7:K110,"2")+COUNTIF('Spelare 27'!K7:K110,"2")+COUNTIF('Spelare 28'!K7:K110,"2")+COUNTIF('Spelare 29'!K7:K110,"2")+COUNTIF('Spelare 30'!K7:K110,"2")</x:f>
        <x:v>580</x:v>
      </x:c>
      <x:c r="J23" s="9"/>
      <x:c r="K23" s="9"/>
      <x:c r="L23" s="9"/>
      <x:c r="M23" s="9" t="s">
        <x:v>43</x:v>
      </x:c>
      <x:c r="N23" s="9" t="n">
        <x:f>COUNTIF(Ricardo!I7:J110,"&gt;=4")+COUNTIF(Janne!I7:J110,"&gt;=4")+COUNTIF(Bosse!I7:J110,"&gt;=4")+COUNTIF(Stina!I7:J110,"&gt;=4")+COUNTIF(Robban!I7:J110,"&gt;=4")+COUNTIF(Chrille!I7:J110,"&gt;=4")+COUNTIF('John T.'!I7:J110,"&gt;=4")+COUNTIF(Clabbe!I7:J110,"&gt;=4")+COUNTIF(Dennis!I7:J110,"&gt;=4")+COUNTIF(Monfors!I7:J110,"&gt;=4")+COUNTIF('Anders D.'!I7:J110,"&gt;=4")+COUNTIF(Evelina!I7:J110,"&gt;=4")+COUNTIF(Nizze!I7:J110,"&gt;=4")+COUNTIF(Sorken!I7:J110,"&gt;=4")+COUNTIF(Peter!I7:J110,"&gt;=4")+COUNTIF(Antonia!I7:J110,"&gt;=4")+COUNTIF('Niklas A.'!I7:J110,"&gt;=4")+COUNTIF('Thomas B.'!I7:J110,"&gt;=4")+COUNTIF(Micke!I7:J110,"&gt;=4")+COUNTIF(Robin!I7:J110,"&gt;=4")+COUNTIF('Spelare 21'!I7:J110,"&gt;=4")+COUNTIF('Spelare 22'!I7:J110,"&gt;=4")+COUNTIF('Spelare 23'!I7:J110,"&gt;=4")+COUNTIF('Spelare 24'!I7:J110,"&gt;=4")+COUNTIF('Spelare 25'!I7:J110,"&gt;=4")+COUNTIF('Spelare 26'!I7:J110,"&gt;=4")+COUNTIF('Spelare 27'!I7:J110,"&gt;=4")+COUNTIF('Spelare 28'!I7:J110,"&gt;=4")+COUNTIF('Spelare 29'!I7:J110,"&gt;=4")+COUNTIF('Spelare 30'!I7:J110,"&gt;=4")</x:f>
        <x:v>65</x:v>
      </x:c>
    </x:row>
    <x:row r="24">
      <x:c r="A24" s="11" t="n">
        <x:f>IF(C24="","",1+COUNTIF($C$12:$C$41,"&gt;"&amp;C24)+COUNTIFS($C$12:C24,C24)-1)</x:f>
        <x:v>6</x:v>
      </x:c>
      <x:c r="B24" s="11" t="str">
        <x:f>Nizze!$B$2</x:f>
        <x:v>Nizze</x:v>
      </x:c>
      <x:c r="C24" s="11" t="n">
        <x:f>Nizze!$G$2</x:f>
        <x:v>3</x:v>
      </x:c>
      <x:c r="D24" s="11" t="n">
        <x:f>Nizze!$J$2</x:f>
        <x:v>1</x:v>
      </x:c>
      <x:c r="E24" s="11" t="n">
        <x:f>Nizze!$L$2</x:f>
        <x:v>0</x:v>
      </x:c>
      <x:c r="F24" s="11" t="s">
        <x:v>44</x:v>
      </x:c>
      <x:c r="G24" s="9"/>
      <x:c r="H24" s="9"/>
      <x:c r="I24" s="9"/>
      <x:c r="J24" s="9"/>
      <x:c r="K24" s="9"/>
      <x:c r="L24" s="9"/>
      <x:c r="M24" s="9"/>
      <x:c r="N24" s="9"/>
    </x:row>
    <x:row r="25">
      <x:c r="A25" s="11" t="str">
        <x:f>IF(C25="","",1+COUNTIF($C$12:$C$41,"&gt;"&amp;C25)+COUNTIFS($C$12:C25,C25)-1)</x:f>
      </x:c>
      <x:c r="B25" s="11" t="str">
        <x:f>Sorken!$B$2</x:f>
        <x:v>Sorken</x:v>
      </x:c>
      <x:c r="C25" s="11" t="n">
        <x:f>Sorken!$G$2</x:f>
        <x:v>0</x:v>
      </x:c>
      <x:c r="D25" s="11" t="n">
        <x:f>Sorken!$J$2</x:f>
        <x:v>0</x:v>
      </x:c>
      <x:c r="E25" s="11" t="n">
        <x:f>Sorken!$L$2</x:f>
        <x:v>0</x:v>
      </x:c>
      <x:c r="F25" s="11" t="s">
        <x:v>45</x:v>
      </x:c>
      <x:c r="G25" s="9"/>
      <x:c r="H25" s="9"/>
      <x:c r="I25" s="9"/>
      <x:c r="J25" s="9"/>
      <x:c r="K25" s="9"/>
      <x:c r="L25" s="9"/>
      <x:c r="M25" s="9"/>
      <x:c r="N25" s="9"/>
    </x:row>
    <x:row r="26">
      <x:c r="A26" s="11" t="n">
        <x:f>IF(C26="","",1+COUNTIF($C$12:$C$41,"&gt;"&amp;C26)+COUNTIFS($C$12:C26,C26)-1)</x:f>
        <x:v>7</x:v>
      </x:c>
      <x:c r="B26" s="11" t="str">
        <x:f>Peter!$B$2</x:f>
        <x:v>Peter</x:v>
      </x:c>
      <x:c r="C26" s="11" t="n">
        <x:f>Peter!$G$2</x:f>
        <x:v>1</x:v>
      </x:c>
      <x:c r="D26" s="11" t="n">
        <x:f>Peter!$J$2</x:f>
        <x:v>0</x:v>
      </x:c>
      <x:c r="E26" s="11" t="n">
        <x:f>Peter!$L$2</x:f>
        <x:v>0</x:v>
      </x:c>
      <x:c r="F26" s="11" t="s">
        <x:v>46</x:v>
      </x:c>
      <x:c r="G26" s="9"/>
      <x:c r="H26" s="9"/>
      <x:c r="I26" s="9"/>
      <x:c r="J26" s="9"/>
      <x:c r="K26" s="9"/>
      <x:c r="L26" s="9"/>
      <x:c r="M26" s="9"/>
      <x:c r="N26" s="9"/>
    </x:row>
    <x:row r="27">
      <x:c r="A27" s="11" t="str">
        <x:f>IF(C27="","",1+COUNTIF($C$12:$C$41,"&gt;"&amp;C27)+COUNTIFS($C$12:C27,C27)-1)</x:f>
      </x:c>
      <x:c r="B27" s="11" t="str">
        <x:f>Antonia!$B$2</x:f>
        <x:v>Antonia</x:v>
      </x:c>
      <x:c r="C27" s="11" t="n">
        <x:f>Antonia!$G$2</x:f>
        <x:v>0</x:v>
      </x:c>
      <x:c r="D27" s="11" t="n">
        <x:f>Antonia!$J$2</x:f>
        <x:v>0</x:v>
      </x:c>
      <x:c r="E27" s="11" t="n">
        <x:f>Antonia!$L$2</x:f>
        <x:v>0</x:v>
      </x:c>
      <x:c r="F27" s="11" t="s">
        <x:v>47</x:v>
      </x:c>
      <x:c r="G27" s="9"/>
      <x:c r="H27" s="9"/>
      <x:c r="I27" s="9"/>
      <x:c r="J27" s="9"/>
      <x:c r="K27" s="9"/>
      <x:c r="L27" s="9"/>
      <x:c r="M27" s="9"/>
      <x:c r="N27" s="9"/>
    </x:row>
    <x:row r="28">
      <x:c r="A28" s="11" t="str">
        <x:f>IF(C28="","",1+COUNTIF($C$12:$C$41,"&gt;"&amp;C28)+COUNTIFS($C$12:C28,C28)-1)</x:f>
      </x:c>
      <x:c r="B28" s="11" t="str">
        <x:f>'Niklas A.'!$B$2</x:f>
        <x:v>Niklas A.</x:v>
      </x:c>
      <x:c r="C28" s="11" t="n">
        <x:f>'Niklas A.'!$G$2</x:f>
        <x:v>0</x:v>
      </x:c>
      <x:c r="D28" s="11" t="n">
        <x:f>'Niklas A.'!$J$2</x:f>
        <x:v>0</x:v>
      </x:c>
      <x:c r="E28" s="11" t="n">
        <x:f>'Niklas A.'!$L$2</x:f>
        <x:v>0</x:v>
      </x:c>
      <x:c r="F28" s="11" t="s">
        <x:v>48</x:v>
      </x:c>
      <x:c r="G28" s="9"/>
      <x:c r="H28" s="9"/>
      <x:c r="I28" s="9"/>
      <x:c r="J28" s="9"/>
      <x:c r="K28" s="9"/>
      <x:c r="L28" s="9"/>
      <x:c r="M28" s="9"/>
      <x:c r="N28" s="9"/>
    </x:row>
    <x:row r="29">
      <x:c r="A29" s="11" t="str">
        <x:f>IF(C29="","",1+COUNTIF($C$12:$C$41,"&gt;"&amp;C29)+COUNTIFS($C$12:C29,C29)-1)</x:f>
      </x:c>
      <x:c r="B29" s="11" t="str">
        <x:f>'Thomas B.'!$B$2</x:f>
        <x:v>Thomas B.</x:v>
      </x:c>
      <x:c r="C29" s="11" t="n">
        <x:f>'Thomas B.'!$G$2</x:f>
        <x:v>0</x:v>
      </x:c>
      <x:c r="D29" s="11" t="n">
        <x:f>'Thomas B.'!$J$2</x:f>
        <x:v>0</x:v>
      </x:c>
      <x:c r="E29" s="11" t="n">
        <x:f>'Thomas B.'!$L$2</x:f>
        <x:v>0</x:v>
      </x:c>
      <x:c r="F29" s="11" t="s">
        <x:v>49</x:v>
      </x:c>
      <x:c r="G29" s="9"/>
      <x:c r="H29" s="9"/>
      <x:c r="I29" s="9"/>
      <x:c r="J29" s="9"/>
      <x:c r="K29" s="9"/>
      <x:c r="L29" s="9"/>
      <x:c r="M29" s="9"/>
      <x:c r="N29" s="9"/>
    </x:row>
    <x:row r="30">
      <x:c r="A30" s="11" t="str">
        <x:f>IF(C30="","",1+COUNTIF($C$12:$C$41,"&gt;"&amp;C30)+COUNTIFS($C$12:C30,C30)-1)</x:f>
      </x:c>
      <x:c r="B30" s="11" t="str">
        <x:f>Micke!$B$2</x:f>
        <x:v>Micke</x:v>
      </x:c>
      <x:c r="C30" s="11" t="n">
        <x:f>Micke!$G$2</x:f>
        <x:v>0</x:v>
      </x:c>
      <x:c r="D30" s="11" t="n">
        <x:f>Micke!$J$2</x:f>
        <x:v>0</x:v>
      </x:c>
      <x:c r="E30" s="11" t="n">
        <x:f>Micke!$L$2</x:f>
        <x:v>0</x:v>
      </x:c>
      <x:c r="F30" s="11" t="s">
        <x:v>50</x:v>
      </x:c>
      <x:c r="G30" s="9"/>
      <x:c r="H30" s="9"/>
      <x:c r="I30" s="9"/>
      <x:c r="J30" s="9"/>
      <x:c r="K30" s="9"/>
      <x:c r="L30" s="9"/>
      <x:c r="M30" s="9"/>
      <x:c r="N30" s="9"/>
    </x:row>
    <x:row r="31">
      <x:c r="A31" s="11" t="str">
        <x:f>IF(C31="","",1+COUNTIF($C$12:$C$41,"&gt;"&amp;C31)+COUNTIFS($C$12:C31,C31)-1)</x:f>
      </x:c>
      <x:c r="B31" s="11" t="str">
        <x:f>Robin!$B$2</x:f>
        <x:v>Robin</x:v>
      </x:c>
      <x:c r="C31" s="11" t="n">
        <x:f>Robin!$G$2</x:f>
        <x:v>0</x:v>
      </x:c>
      <x:c r="D31" s="11" t="n">
        <x:f>Robin!$J$2</x:f>
        <x:v>0</x:v>
      </x:c>
      <x:c r="E31" s="11" t="n">
        <x:f>Robin!$L$2</x:f>
        <x:v>0</x:v>
      </x:c>
      <x:c r="F31" s="11" t="s">
        <x:v>51</x:v>
      </x:c>
      <x:c r="G31" s="9"/>
      <x:c r="H31" s="9"/>
      <x:c r="I31" s="9"/>
      <x:c r="J31" s="9"/>
      <x:c r="K31" s="9"/>
      <x:c r="L31" s="9"/>
      <x:c r="M31" s="9"/>
      <x:c r="N31" s="9"/>
    </x:row>
    <x:row r="32">
      <x:c r="A32" s="11" t="n">
        <x:f>IF(C32="","",1+COUNTIF($C$12:$C$41,"&gt;"&amp;C32)+COUNTIFS($C$12:C32,C32)-1)</x:f>
        <x:v>8</x:v>
      </x:c>
      <x:c r="B32" s="11" t="str">
        <x:f>'Spelare 21'!$B$2</x:f>
        <x:v>Spelare 21</x:v>
      </x:c>
      <x:c r="C32" s="11" t="n">
        <x:f>'Spelare 21'!$G$2</x:f>
        <x:v>1</x:v>
      </x:c>
      <x:c r="D32" s="11" t="n">
        <x:f>'Spelare 21'!$J$2</x:f>
        <x:v>0</x:v>
      </x:c>
      <x:c r="E32" s="11" t="n">
        <x:f>'Spelare 21'!$L$2</x:f>
        <x:v>0</x:v>
      </x:c>
      <x:c r="F32" s="11" t="s">
        <x:v>52</x:v>
      </x:c>
      <x:c r="G32" s="9"/>
      <x:c r="H32" s="9"/>
      <x:c r="I32" s="9"/>
      <x:c r="J32" s="9"/>
      <x:c r="K32" s="9"/>
      <x:c r="L32" s="9"/>
      <x:c r="M32" s="9"/>
      <x:c r="N32" s="9"/>
    </x:row>
    <x:row r="33">
      <x:c r="A33" s="11" t="n">
        <x:f>IF(C33="","",1+COUNTIF($C$12:$C$41,"&gt;"&amp;C33)+COUNTIFS($C$12:C33,C33)-1)</x:f>
        <x:v>9</x:v>
      </x:c>
      <x:c r="B33" s="11" t="str">
        <x:f>'Spelare 22'!$B$2</x:f>
        <x:v>Spelare 22</x:v>
      </x:c>
      <x:c r="C33" s="11" t="n">
        <x:f>'Spelare 22'!$G$2</x:f>
        <x:v>1</x:v>
      </x:c>
      <x:c r="D33" s="11" t="n">
        <x:f>'Spelare 22'!$J$2</x:f>
        <x:v>0</x:v>
      </x:c>
      <x:c r="E33" s="11" t="n">
        <x:f>'Spelare 22'!$L$2</x:f>
        <x:v>0</x:v>
      </x:c>
      <x:c r="F33" s="11" t="s">
        <x:v>53</x:v>
      </x:c>
      <x:c r="G33" s="9"/>
      <x:c r="H33" s="9"/>
      <x:c r="I33" s="9"/>
      <x:c r="J33" s="9"/>
      <x:c r="K33" s="9"/>
      <x:c r="L33" s="9"/>
      <x:c r="M33" s="9"/>
      <x:c r="N33" s="9"/>
    </x:row>
    <x:row r="34">
      <x:c r="A34" s="11" t="n">
        <x:f>IF(C34="","",1+COUNTIF($C$12:$C$41,"&gt;"&amp;C34)+COUNTIFS($C$12:C34,C34)-1)</x:f>
        <x:v>10</x:v>
      </x:c>
      <x:c r="B34" s="11" t="str">
        <x:f>'Spelare 23'!$B$2</x:f>
        <x:v>Spelare 23</x:v>
      </x:c>
      <x:c r="C34" s="11" t="n">
        <x:f>'Spelare 23'!$G$2</x:f>
        <x:v>1</x:v>
      </x:c>
      <x:c r="D34" s="11" t="n">
        <x:f>'Spelare 23'!$J$2</x:f>
        <x:v>0</x:v>
      </x:c>
      <x:c r="E34" s="11" t="n">
        <x:f>'Spelare 23'!$L$2</x:f>
        <x:v>0</x:v>
      </x:c>
      <x:c r="F34" s="11" t="s">
        <x:v>54</x:v>
      </x:c>
      <x:c r="G34" s="9"/>
      <x:c r="H34" s="9"/>
      <x:c r="I34" s="9"/>
      <x:c r="J34" s="9"/>
      <x:c r="K34" s="9"/>
      <x:c r="L34" s="9"/>
      <x:c r="M34" s="9"/>
      <x:c r="N34" s="9"/>
    </x:row>
    <x:row r="35">
      <x:c r="A35" s="11" t="n">
        <x:f>IF(C35="","",1+COUNTIF($C$12:$C$41,"&gt;"&amp;C35)+COUNTIFS($C$12:C35,C35)-1)</x:f>
        <x:v>11</x:v>
      </x:c>
      <x:c r="B35" s="11" t="str">
        <x:f>'Spelare 24'!$B$2</x:f>
        <x:v>Spelare 24</x:v>
      </x:c>
      <x:c r="C35" s="11" t="n">
        <x:f>'Spelare 24'!$G$2</x:f>
        <x:v>1</x:v>
      </x:c>
      <x:c r="D35" s="11" t="n">
        <x:f>'Spelare 24'!$J$2</x:f>
        <x:v>0</x:v>
      </x:c>
      <x:c r="E35" s="11" t="n">
        <x:f>'Spelare 24'!$L$2</x:f>
        <x:v>0</x:v>
      </x:c>
      <x:c r="F35" s="11" t="s">
        <x:v>55</x:v>
      </x:c>
      <x:c r="G35" s="9"/>
      <x:c r="H35" s="9"/>
      <x:c r="I35" s="9"/>
      <x:c r="J35" s="9"/>
      <x:c r="K35" s="9"/>
      <x:c r="L35" s="9"/>
      <x:c r="M35" s="9"/>
      <x:c r="N35" s="9"/>
    </x:row>
    <x:row r="36">
      <x:c r="A36" s="11" t="n">
        <x:f>IF(C36="","",1+COUNTIF($C$12:$C$41,"&gt;"&amp;C36)+COUNTIFS($C$12:C36,C36)-1)</x:f>
        <x:v>12</x:v>
      </x:c>
      <x:c r="B36" s="11" t="str">
        <x:f>'Spelare 25'!$B$2</x:f>
        <x:v>Spelare 25</x:v>
      </x:c>
      <x:c r="C36" s="11" t="n">
        <x:f>'Spelare 25'!$G$2</x:f>
        <x:v>1</x:v>
      </x:c>
      <x:c r="D36" s="11" t="n">
        <x:f>'Spelare 25'!$J$2</x:f>
        <x:v>0</x:v>
      </x:c>
      <x:c r="E36" s="11" t="n">
        <x:f>'Spelare 25'!$L$2</x:f>
        <x:v>0</x:v>
      </x:c>
      <x:c r="F36" s="11" t="s">
        <x:v>56</x:v>
      </x:c>
      <x:c r="G36" s="9"/>
      <x:c r="H36" s="9"/>
      <x:c r="I36" s="9"/>
      <x:c r="J36" s="9"/>
      <x:c r="K36" s="9"/>
      <x:c r="L36" s="9"/>
      <x:c r="M36" s="9"/>
      <x:c r="N36" s="9"/>
    </x:row>
    <x:row r="37">
      <x:c r="A37" s="11" t="n">
        <x:f>IF(C37="","",1+COUNTIF($C$12:$C$41,"&gt;"&amp;C37)+COUNTIFS($C$12:C37,C37)-1)</x:f>
        <x:v>13</x:v>
      </x:c>
      <x:c r="B37" s="11" t="str">
        <x:f>'Spelare 26'!$B$2</x:f>
        <x:v>Spelare 26</x:v>
      </x:c>
      <x:c r="C37" s="11" t="n">
        <x:f>'Spelare 26'!$G$2</x:f>
        <x:v>1</x:v>
      </x:c>
      <x:c r="D37" s="11" t="n">
        <x:f>'Spelare 26'!$J$2</x:f>
        <x:v>0</x:v>
      </x:c>
      <x:c r="E37" s="11" t="n">
        <x:f>'Spelare 26'!$L$2</x:f>
        <x:v>0</x:v>
      </x:c>
      <x:c r="F37" s="11" t="s">
        <x:v>57</x:v>
      </x:c>
      <x:c r="G37" s="9"/>
      <x:c r="H37" s="9"/>
      <x:c r="I37" s="9"/>
      <x:c r="J37" s="9"/>
      <x:c r="K37" s="9"/>
      <x:c r="L37" s="9"/>
      <x:c r="M37" s="9"/>
      <x:c r="N37" s="9"/>
    </x:row>
    <x:row r="38">
      <x:c r="A38" s="11" t="n">
        <x:f>IF(C38="","",1+COUNTIF($C$12:$C$41,"&gt;"&amp;C38)+COUNTIFS($C$12:C38,C38)-1)</x:f>
        <x:v>14</x:v>
      </x:c>
      <x:c r="B38" s="11" t="str">
        <x:f>'Spelare 27'!$B$2</x:f>
        <x:v>Spelare 27</x:v>
      </x:c>
      <x:c r="C38" s="11" t="n">
        <x:f>'Spelare 27'!$G$2</x:f>
        <x:v>1</x:v>
      </x:c>
      <x:c r="D38" s="11" t="n">
        <x:f>'Spelare 27'!$J$2</x:f>
        <x:v>0</x:v>
      </x:c>
      <x:c r="E38" s="11" t="n">
        <x:f>'Spelare 27'!$L$2</x:f>
        <x:v>0</x:v>
      </x:c>
      <x:c r="F38" s="11" t="s">
        <x:v>58</x:v>
      </x:c>
      <x:c r="G38" s="9"/>
      <x:c r="H38" s="9"/>
      <x:c r="I38" s="9"/>
      <x:c r="J38" s="9"/>
      <x:c r="K38" s="9"/>
      <x:c r="L38" s="9"/>
      <x:c r="M38" s="9"/>
      <x:c r="N38" s="9"/>
    </x:row>
    <x:row r="39">
      <x:c r="A39" s="11" t="n">
        <x:f>IF(C39="","",1+COUNTIF($C$12:$C$41,"&gt;"&amp;C39)+COUNTIFS($C$12:C39,C39)-1)</x:f>
        <x:v>15</x:v>
      </x:c>
      <x:c r="B39" s="11" t="str">
        <x:f>'Spelare 28'!$B$2</x:f>
        <x:v>Spelare 28</x:v>
      </x:c>
      <x:c r="C39" s="11" t="n">
        <x:f>'Spelare 28'!$G$2</x:f>
        <x:v>1</x:v>
      </x:c>
      <x:c r="D39" s="11" t="n">
        <x:f>'Spelare 28'!$J$2</x:f>
        <x:v>0</x:v>
      </x:c>
      <x:c r="E39" s="11" t="n">
        <x:f>'Spelare 28'!$L$2</x:f>
        <x:v>0</x:v>
      </x:c>
      <x:c r="F39" s="11" t="s">
        <x:v>59</x:v>
      </x:c>
      <x:c r="G39" s="9"/>
      <x:c r="H39" s="9"/>
      <x:c r="I39" s="9"/>
      <x:c r="J39" s="9"/>
      <x:c r="K39" s="9"/>
      <x:c r="L39" s="9"/>
      <x:c r="M39" s="9"/>
      <x:c r="N39" s="9"/>
    </x:row>
    <x:row r="40">
      <x:c r="A40" s="11" t="n">
        <x:f>IF(C40="","",1+COUNTIF($C$12:$C$41,"&gt;"&amp;C40)+COUNTIFS($C$12:C40,C40)-1)</x:f>
        <x:v>16</x:v>
      </x:c>
      <x:c r="B40" s="11" t="str">
        <x:f>'Spelare 29'!$B$2</x:f>
        <x:v>Spelare 29</x:v>
      </x:c>
      <x:c r="C40" s="11" t="n">
        <x:f>'Spelare 29'!$G$2</x:f>
        <x:v>1</x:v>
      </x:c>
      <x:c r="D40" s="11" t="n">
        <x:f>'Spelare 29'!$J$2</x:f>
        <x:v>0</x:v>
      </x:c>
      <x:c r="E40" s="11" t="n">
        <x:f>'Spelare 29'!$L$2</x:f>
        <x:v>0</x:v>
      </x:c>
      <x:c r="F40" s="11" t="s">
        <x:v>60</x:v>
      </x:c>
      <x:c r="G40" s="9"/>
      <x:c r="H40" s="9"/>
      <x:c r="I40" s="9"/>
      <x:c r="J40" s="9"/>
      <x:c r="K40" s="9"/>
      <x:c r="L40" s="9"/>
      <x:c r="M40" s="9"/>
      <x:c r="N40" s="9"/>
    </x:row>
    <x:row r="41">
      <x:c r="A41" s="11" t="n">
        <x:f>IF(C41="","",1+COUNTIF($C$12:$C$41,"&gt;"&amp;C41)+COUNTIFS($C$12:C41,C41)-1)</x:f>
        <x:v>17</x:v>
      </x:c>
      <x:c r="B41" s="11" t="str">
        <x:f>'Spelare 30'!$B$2</x:f>
        <x:v>Spelare 30</x:v>
      </x:c>
      <x:c r="C41" s="11" t="n">
        <x:f>'Spelare 30'!$G$2</x:f>
        <x:v>1</x:v>
      </x:c>
      <x:c r="D41" s="11" t="n">
        <x:f>'Spelare 30'!$J$2</x:f>
        <x:v>0</x:v>
      </x:c>
      <x:c r="E41" s="11" t="n">
        <x:f>'Spelare 30'!$L$2</x:f>
        <x:v>0</x:v>
      </x:c>
      <x:c r="F41" s="11" t="s">
        <x:v>61</x:v>
      </x:c>
      <x:c r="G41" s="9"/>
      <x:c r="H41" s="9"/>
      <x:c r="I41" s="9"/>
      <x:c r="J41" s="9"/>
      <x:c r="K41" s="9"/>
      <x:c r="L41" s="9"/>
      <x:c r="M41" s="9"/>
      <x:c r="N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</x:row>
  </x:sheetData>
  <x:mergeCells>
    <x:mergeCell ref="A1:N1"/>
    <x:mergeCell ref="H3:L3"/>
    <x:mergeCell ref="H17:N17"/>
  </x:mergeCells>
  <x:conditionalFormatting sqref="A12:F41">
    <x:cfRule type="expression" dxfId="65" priority="2">
      <x:formula>$A12&lt;=10</x:formula>
    </x:cfRule>
  </x:conditionalFormatting>
  <x:conditionalFormatting sqref="C12:C41">
    <x:cfRule type="dataBar" priority="1">
      <x:dataBar>
        <x:cfvo type="min"/>
        <x:cfvo type="max"/>
        <x:color rgb="FF16A34A"/>
      </x:dataBar>
    </x:cfRule>
    <x:cfRule type="dataBar" priority="3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{9DE1C18E-BE07-6630-1838-35BDE1E6DFA9}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454331390db4ad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DE1C18E-BE07-6630-1838-35BDE1E6DFA9}">
            <x14:dataBar>
              <x14:cfvo type="min"/>
              <x14:cfvo type="max"/>
              <x14:fillColor rgb="FF16A34A"/>
              <x14:negativeFillColor auto="1"/>
              <x14:axisColor auto="1"/>
            </x14:dataBar>
          </x14:cfRule>
          <xm:sqref>C12:C41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6" customWidth="1"/>
    <x:col min="2" max="2" width="15" customWidth="1"/>
    <x:col min="3" max="3" width="8" customWidth="1"/>
    <x:col min="4" max="7" width="13" customWidth="1"/>
    <x:col min="8" max="9" width="24" customWidth="1"/>
    <x:col min="10" max="10" width="34" customWidth="1"/>
    <x:col min="11" max="13" width="12" customWidth="1"/>
    <x:col min="14" max="14" width="28" customWidth="1"/>
  </x:cols>
  <x:sheetData>
    <x:row r="1" ht="30">
      <x:c r="A1" s="1" t="s">
        <x:v>62</x:v>
      </x:c>
      <x:c r="B1" s="1" t="s">
        <x:v>63</x:v>
      </x:c>
      <x:c r="C1" s="1" t="s">
        <x:v>64</x:v>
      </x:c>
      <x:c r="D1" s="1" t="s">
        <x:v>65</x:v>
      </x:c>
      <x:c r="E1" s="1" t="s">
        <x:v>66</x:v>
      </x:c>
      <x:c r="F1" s="1" t="s">
        <x:v>67</x:v>
      </x:c>
      <x:c r="G1" s="1" t="s">
        <x:v>68</x:v>
      </x:c>
      <x:c r="H1" s="1" t="s">
        <x:v>69</x:v>
      </x:c>
      <x:c r="I1" s="1" t="s">
        <x:v>70</x:v>
      </x:c>
      <x:c r="J1" s="1" t="s">
        <x:v>71</x:v>
      </x:c>
      <x:c r="K1" s="1" t="s">
        <x:v>72</x:v>
      </x:c>
      <x:c r="L1" s="1" t="s">
        <x:v>73</x:v>
      </x:c>
      <x:c r="M1" s="1" t="s">
        <x:v>74</x:v>
      </x:c>
      <x:c r="N1" s="1" t="s">
        <x:v>75</x:v>
      </x:c>
    </x:row>
    <x:row r="2" ht="84">
      <x:c r="A2" s="11">
        <x:v>1</x:v>
      </x:c>
      <x:c r="B2" s="11" t="s">
        <x:v>76</x:v>
      </x:c>
      <x:c r="C2" s="11" t="s">
        <x:v>77</x:v>
      </x:c>
      <x:c r="D2" s="12">
        <x:v>46184.875</x:v>
      </x:c>
      <x:c r="E2" s="11" t="s">
        <x:v>78</x:v>
      </x:c>
      <x:c r="F2" s="12">
        <x:v>46184.625</x:v>
      </x:c>
      <x:c r="G2" s="11" t="s">
        <x:v>79</x:v>
      </x:c>
      <x:c r="H2" s="11" t="s">
        <x:v>80</x:v>
      </x:c>
      <x:c r="I2" s="11" t="s">
        <x:v>81</x:v>
      </x:c>
      <x:c r="J2" s="11" t="s">
        <x:v>82</x:v>
      </x:c>
      <x:c r="K2" s="13">
        <x:v>2</x:v>
      </x:c>
      <x:c r="L2" s="13">
        <x:v>0</x:v>
      </x:c>
      <x:c r="M2" s="14" t="str">
        <x:f t="shared" ref="M2:M33" si="0">IF(OR(K2="",L2=""),"",IF(K2&gt;L2,"1",IF(K2=L2,"X","2")))</x:f>
      </x:c>
      <x:c r="N2" s="11" t="s">
        <x:v>83</x:v>
      </x:c>
    </x:row>
    <x:row r="3" ht="71.25">
      <x:c r="A3" s="11">
        <x:v>2</x:v>
      </x:c>
      <x:c r="B3" s="11" t="s">
        <x:v>76</x:v>
      </x:c>
      <x:c r="C3" s="11" t="s">
        <x:v>77</x:v>
      </x:c>
      <x:c r="D3" s="12">
        <x:v>46185.166666666664</x:v>
      </x:c>
      <x:c r="E3" s="11" t="s">
        <x:v>84</x:v>
      </x:c>
      <x:c r="F3" s="12">
        <x:v>46184.916666666664</x:v>
      </x:c>
      <x:c r="G3" s="11" t="s">
        <x:v>85</x:v>
      </x:c>
      <x:c r="H3" s="11" t="s">
        <x:v>86</x:v>
      </x:c>
      <x:c r="I3" s="11" t="s">
        <x:v>87</x:v>
      </x:c>
      <x:c r="J3" s="11" t="s">
        <x:v>88</x:v>
      </x:c>
      <x:c r="K3" s="13"/>
      <x:c r="L3" s="13"/>
      <x:c r="M3" s="14" t="str">
        <x:f t="shared" si="0"/>
      </x:c>
      <x:c r="N3" s="11" t="s">
        <x:v>83</x:v>
      </x:c>
    </x:row>
    <x:row r="4" ht="71.25">
      <x:c r="A4" s="11">
        <x:v>3</x:v>
      </x:c>
      <x:c r="B4" s="11" t="s">
        <x:v>76</x:v>
      </x:c>
      <x:c r="C4" s="11" t="s">
        <x:v>89</x:v>
      </x:c>
      <x:c r="D4" s="12">
        <x:v>46185.875</x:v>
      </x:c>
      <x:c r="E4" s="11" t="s">
        <x:v>78</x:v>
      </x:c>
      <x:c r="F4" s="12">
        <x:v>46185.625</x:v>
      </x:c>
      <x:c r="G4" s="11" t="s">
        <x:v>79</x:v>
      </x:c>
      <x:c r="H4" s="11" t="s">
        <x:v>90</x:v>
      </x:c>
      <x:c r="I4" s="11" t="s">
        <x:v>91</x:v>
      </x:c>
      <x:c r="J4" s="11" t="s">
        <x:v>92</x:v>
      </x:c>
      <x:c r="K4" s="13"/>
      <x:c r="L4" s="13"/>
      <x:c r="M4" s="14" t="str">
        <x:f t="shared" si="0"/>
      </x:c>
      <x:c r="N4" s="11" t="s">
        <x:v>83</x:v>
      </x:c>
    </x:row>
    <x:row r="5" ht="71.25">
      <x:c r="A5" s="11">
        <x:v>4</x:v>
      </x:c>
      <x:c r="B5" s="11" t="s">
        <x:v>76</x:v>
      </x:c>
      <x:c r="C5" s="11" t="s">
        <x:v>93</x:v>
      </x:c>
      <x:c r="D5" s="12">
        <x:v>46186.125</x:v>
      </x:c>
      <x:c r="E5" s="11" t="s">
        <x:v>94</x:v>
      </x:c>
      <x:c r="F5" s="12">
        <x:v>46185.875</x:v>
      </x:c>
      <x:c r="G5" s="11" t="s">
        <x:v>78</x:v>
      </x:c>
      <x:c r="H5" s="11" t="s">
        <x:v>95</x:v>
      </x:c>
      <x:c r="I5" s="11" t="s">
        <x:v>96</x:v>
      </x:c>
      <x:c r="J5" s="11" t="s">
        <x:v>97</x:v>
      </x:c>
      <x:c r="K5" s="13"/>
      <x:c r="L5" s="13"/>
      <x:c r="M5" s="14" t="str">
        <x:f t="shared" si="0"/>
      </x:c>
      <x:c r="N5" s="11" t="s">
        <x:v>83</x:v>
      </x:c>
    </x:row>
    <x:row r="6" ht="71.25">
      <x:c r="A6" s="11">
        <x:v>5</x:v>
      </x:c>
      <x:c r="B6" s="11" t="s">
        <x:v>76</x:v>
      </x:c>
      <x:c r="C6" s="11" t="s">
        <x:v>89</x:v>
      </x:c>
      <x:c r="D6" s="12">
        <x:v>46186.875</x:v>
      </x:c>
      <x:c r="E6" s="11" t="s">
        <x:v>78</x:v>
      </x:c>
      <x:c r="F6" s="12">
        <x:v>46186.625</x:v>
      </x:c>
      <x:c r="G6" s="11" t="s">
        <x:v>79</x:v>
      </x:c>
      <x:c r="H6" s="11" t="s">
        <x:v>98</x:v>
      </x:c>
      <x:c r="I6" s="11" t="s">
        <x:v>99</x:v>
      </x:c>
      <x:c r="J6" s="11" t="s">
        <x:v>100</x:v>
      </x:c>
      <x:c r="K6" s="13"/>
      <x:c r="L6" s="13"/>
      <x:c r="M6" s="14" t="str">
        <x:f t="shared" si="0"/>
      </x:c>
      <x:c r="N6" s="11" t="s">
        <x:v>83</x:v>
      </x:c>
    </x:row>
    <x:row r="7" ht="71.25">
      <x:c r="A7" s="11">
        <x:v>6</x:v>
      </x:c>
      <x:c r="B7" s="11" t="s">
        <x:v>76</x:v>
      </x:c>
      <x:c r="C7" s="11" t="s">
        <x:v>101</x:v>
      </x:c>
      <x:c r="D7" s="12">
        <x:v>46187</x:v>
      </x:c>
      <x:c r="E7" s="11" t="s">
        <x:v>102</x:v>
      </x:c>
      <x:c r="F7" s="12">
        <x:v>46186.75</x:v>
      </x:c>
      <x:c r="G7" s="11" t="s">
        <x:v>103</x:v>
      </x:c>
      <x:c r="H7" s="11" t="s">
        <x:v>104</x:v>
      </x:c>
      <x:c r="I7" s="11" t="s">
        <x:v>105</x:v>
      </x:c>
      <x:c r="J7" s="11" t="s">
        <x:v>106</x:v>
      </x:c>
      <x:c r="K7" s="13"/>
      <x:c r="L7" s="13"/>
      <x:c r="M7" s="14" t="str">
        <x:f t="shared" si="0"/>
      </x:c>
      <x:c r="N7" s="11" t="s">
        <x:v>83</x:v>
      </x:c>
    </x:row>
    <x:row r="8" ht="71.25">
      <x:c r="A8" s="11">
        <x:v>7</x:v>
      </x:c>
      <x:c r="B8" s="11" t="s">
        <x:v>76</x:v>
      </x:c>
      <x:c r="C8" s="11" t="s">
        <x:v>101</x:v>
      </x:c>
      <x:c r="D8" s="12">
        <x:v>46187.125</x:v>
      </x:c>
      <x:c r="E8" s="11" t="s">
        <x:v>94</x:v>
      </x:c>
      <x:c r="F8" s="12">
        <x:v>46186.875</x:v>
      </x:c>
      <x:c r="G8" s="11" t="s">
        <x:v>78</x:v>
      </x:c>
      <x:c r="H8" s="11" t="s">
        <x:v>107</x:v>
      </x:c>
      <x:c r="I8" s="11" t="s">
        <x:v>108</x:v>
      </x:c>
      <x:c r="J8" s="11" t="s">
        <x:v>109</x:v>
      </x:c>
      <x:c r="K8" s="13"/>
      <x:c r="L8" s="13"/>
      <x:c r="M8" s="14" t="str">
        <x:f t="shared" si="0"/>
      </x:c>
      <x:c r="N8" s="11" t="s">
        <x:v>83</x:v>
      </x:c>
    </x:row>
    <x:row r="9" ht="71.25">
      <x:c r="A9" s="11">
        <x:v>8</x:v>
      </x:c>
      <x:c r="B9" s="11" t="s">
        <x:v>76</x:v>
      </x:c>
      <x:c r="C9" s="11" t="s">
        <x:v>93</x:v>
      </x:c>
      <x:c r="D9" s="12">
        <x:v>46187.25</x:v>
      </x:c>
      <x:c r="E9" s="11" t="s">
        <x:v>110</x:v>
      </x:c>
      <x:c r="F9" s="12">
        <x:v>46187</x:v>
      </x:c>
      <x:c r="G9" s="11" t="s">
        <x:v>102</x:v>
      </x:c>
      <x:c r="H9" s="11" t="s">
        <x:v>111</x:v>
      </x:c>
      <x:c r="I9" s="11" t="s">
        <x:v>112</x:v>
      </x:c>
      <x:c r="J9" s="11" t="s">
        <x:v>113</x:v>
      </x:c>
      <x:c r="K9" s="13"/>
      <x:c r="L9" s="13"/>
      <x:c r="M9" s="14" t="str">
        <x:f t="shared" si="0"/>
      </x:c>
      <x:c r="N9" s="11" t="s">
        <x:v>83</x:v>
      </x:c>
    </x:row>
    <x:row r="10" ht="71.25">
      <x:c r="A10" s="11">
        <x:v>9</x:v>
      </x:c>
      <x:c r="B10" s="11" t="s">
        <x:v>76</x:v>
      </x:c>
      <x:c r="C10" s="11" t="s">
        <x:v>114</x:v>
      </x:c>
      <x:c r="D10" s="12">
        <x:v>46187.791666666664</x:v>
      </x:c>
      <x:c r="E10" s="11" t="s">
        <x:v>115</x:v>
      </x:c>
      <x:c r="F10" s="12">
        <x:v>46187.541666666664</x:v>
      </x:c>
      <x:c r="G10" s="11" t="s">
        <x:v>116</x:v>
      </x:c>
      <x:c r="H10" s="11" t="s">
        <x:v>117</x:v>
      </x:c>
      <x:c r="I10" s="11" t="s">
        <x:v>118</x:v>
      </x:c>
      <x:c r="J10" s="11" t="s">
        <x:v>119</x:v>
      </x:c>
      <x:c r="K10" s="13"/>
      <x:c r="L10" s="13"/>
      <x:c r="M10" s="14" t="str">
        <x:f t="shared" si="0"/>
      </x:c>
      <x:c r="N10" s="11" t="s">
        <x:v>83</x:v>
      </x:c>
    </x:row>
    <x:row r="11" ht="71.25">
      <x:c r="A11" s="11">
        <x:v>10</x:v>
      </x:c>
      <x:c r="B11" s="11" t="s">
        <x:v>76</x:v>
      </x:c>
      <x:c r="C11" s="11" t="s">
        <x:v>120</x:v>
      </x:c>
      <x:c r="D11" s="12">
        <x:v>46187.916666666664</x:v>
      </x:c>
      <x:c r="E11" s="11" t="s">
        <x:v>85</x:v>
      </x:c>
      <x:c r="F11" s="12">
        <x:v>46187.666666666664</x:v>
      </x:c>
      <x:c r="G11" s="11" t="s">
        <x:v>121</x:v>
      </x:c>
      <x:c r="H11" s="11" t="s">
        <x:v>122</x:v>
      </x:c>
      <x:c r="I11" s="11" t="s">
        <x:v>123</x:v>
      </x:c>
      <x:c r="J11" s="11" t="s">
        <x:v>124</x:v>
      </x:c>
      <x:c r="K11" s="13"/>
      <x:c r="L11" s="13"/>
      <x:c r="M11" s="14" t="str">
        <x:f t="shared" si="0"/>
      </x:c>
      <x:c r="N11" s="11" t="s">
        <x:v>83</x:v>
      </x:c>
    </x:row>
    <x:row r="12" ht="71.25">
      <x:c r="A12" s="11">
        <x:v>11</x:v>
      </x:c>
      <x:c r="B12" s="11" t="s">
        <x:v>76</x:v>
      </x:c>
      <x:c r="C12" s="11" t="s">
        <x:v>114</x:v>
      </x:c>
      <x:c r="D12" s="12">
        <x:v>46188.041666666664</x:v>
      </x:c>
      <x:c r="E12" s="11" t="s">
        <x:v>125</x:v>
      </x:c>
      <x:c r="F12" s="12">
        <x:v>46187.791666666664</x:v>
      </x:c>
      <x:c r="G12" s="11" t="s">
        <x:v>115</x:v>
      </x:c>
      <x:c r="H12" s="11" t="s">
        <x:v>126</x:v>
      </x:c>
      <x:c r="I12" s="11" t="s">
        <x:v>127</x:v>
      </x:c>
      <x:c r="J12" s="11" t="s">
        <x:v>128</x:v>
      </x:c>
      <x:c r="K12" s="13"/>
      <x:c r="L12" s="13"/>
      <x:c r="M12" s="14" t="str">
        <x:f t="shared" si="0"/>
      </x:c>
      <x:c r="N12" s="11" t="s">
        <x:v>83</x:v>
      </x:c>
    </x:row>
    <x:row r="13" ht="71.25">
      <x:c r="A13" s="11">
        <x:v>12</x:v>
      </x:c>
      <x:c r="B13" s="11" t="s">
        <x:v>76</x:v>
      </x:c>
      <x:c r="C13" s="11" t="s">
        <x:v>120</x:v>
      </x:c>
      <x:c r="D13" s="12">
        <x:v>46188.166666666664</x:v>
      </x:c>
      <x:c r="E13" s="11" t="s">
        <x:v>84</x:v>
      </x:c>
      <x:c r="F13" s="12">
        <x:v>46187.916666666664</x:v>
      </x:c>
      <x:c r="G13" s="11" t="s">
        <x:v>85</x:v>
      </x:c>
      <x:c r="H13" s="11" t="s">
        <x:v>129</x:v>
      </x:c>
      <x:c r="I13" s="11" t="s">
        <x:v>130</x:v>
      </x:c>
      <x:c r="J13" s="11" t="s">
        <x:v>131</x:v>
      </x:c>
      <x:c r="K13" s="13"/>
      <x:c r="L13" s="13"/>
      <x:c r="M13" s="14" t="str">
        <x:f t="shared" si="0"/>
      </x:c>
      <x:c r="N13" s="11" t="s">
        <x:v>83</x:v>
      </x:c>
    </x:row>
    <x:row r="14" ht="71.25">
      <x:c r="A14" s="11">
        <x:v>13</x:v>
      </x:c>
      <x:c r="B14" s="11" t="s">
        <x:v>76</x:v>
      </x:c>
      <x:c r="C14" s="11" t="s">
        <x:v>132</x:v>
      </x:c>
      <x:c r="D14" s="12">
        <x:v>46188.75</x:v>
      </x:c>
      <x:c r="E14" s="11" t="s">
        <x:v>103</x:v>
      </x:c>
      <x:c r="F14" s="12">
        <x:v>46188.5</x:v>
      </x:c>
      <x:c r="G14" s="11" t="s">
        <x:v>133</x:v>
      </x:c>
      <x:c r="H14" s="11" t="s">
        <x:v>134</x:v>
      </x:c>
      <x:c r="I14" s="11" t="s">
        <x:v>135</x:v>
      </x:c>
      <x:c r="J14" s="11" t="s">
        <x:v>136</x:v>
      </x:c>
      <x:c r="K14" s="13"/>
      <x:c r="L14" s="13"/>
      <x:c r="M14" s="14" t="str">
        <x:f t="shared" si="0"/>
      </x:c>
      <x:c r="N14" s="11" t="s">
        <x:v>83</x:v>
      </x:c>
    </x:row>
    <x:row r="15" ht="71.25">
      <x:c r="A15" s="11">
        <x:v>14</x:v>
      </x:c>
      <x:c r="B15" s="11" t="s">
        <x:v>76</x:v>
      </x:c>
      <x:c r="C15" s="11" t="s">
        <x:v>137</x:v>
      </x:c>
      <x:c r="D15" s="12">
        <x:v>46188.875</x:v>
      </x:c>
      <x:c r="E15" s="11" t="s">
        <x:v>78</x:v>
      </x:c>
      <x:c r="F15" s="12">
        <x:v>46188.625</x:v>
      </x:c>
      <x:c r="G15" s="11" t="s">
        <x:v>79</x:v>
      </x:c>
      <x:c r="H15" s="11" t="s">
        <x:v>138</x:v>
      </x:c>
      <x:c r="I15" s="11" t="s">
        <x:v>139</x:v>
      </x:c>
      <x:c r="J15" s="11" t="s">
        <x:v>140</x:v>
      </x:c>
      <x:c r="K15" s="13"/>
      <x:c r="L15" s="13"/>
      <x:c r="M15" s="14" t="str">
        <x:f t="shared" si="0"/>
      </x:c>
      <x:c r="N15" s="11" t="s">
        <x:v>83</x:v>
      </x:c>
    </x:row>
    <x:row r="16" ht="71.25">
      <x:c r="A16" s="11">
        <x:v>15</x:v>
      </x:c>
      <x:c r="B16" s="11" t="s">
        <x:v>76</x:v>
      </x:c>
      <x:c r="C16" s="11" t="s">
        <x:v>132</x:v>
      </x:c>
      <x:c r="D16" s="12">
        <x:v>46189</x:v>
      </x:c>
      <x:c r="E16" s="11" t="s">
        <x:v>102</x:v>
      </x:c>
      <x:c r="F16" s="12">
        <x:v>46188.75</x:v>
      </x:c>
      <x:c r="G16" s="11" t="s">
        <x:v>103</x:v>
      </x:c>
      <x:c r="H16" s="11" t="s">
        <x:v>141</x:v>
      </x:c>
      <x:c r="I16" s="11" t="s">
        <x:v>142</x:v>
      </x:c>
      <x:c r="J16" s="11" t="s">
        <x:v>143</x:v>
      </x:c>
      <x:c r="K16" s="13"/>
      <x:c r="L16" s="13"/>
      <x:c r="M16" s="14" t="str">
        <x:f t="shared" si="0"/>
      </x:c>
      <x:c r="N16" s="11" t="s">
        <x:v>83</x:v>
      </x:c>
    </x:row>
    <x:row r="17" ht="71.25">
      <x:c r="A17" s="11">
        <x:v>16</x:v>
      </x:c>
      <x:c r="B17" s="11" t="s">
        <x:v>76</x:v>
      </x:c>
      <x:c r="C17" s="11" t="s">
        <x:v>137</x:v>
      </x:c>
      <x:c r="D17" s="12">
        <x:v>46189.125</x:v>
      </x:c>
      <x:c r="E17" s="11" t="s">
        <x:v>94</x:v>
      </x:c>
      <x:c r="F17" s="12">
        <x:v>46188.875</x:v>
      </x:c>
      <x:c r="G17" s="11" t="s">
        <x:v>78</x:v>
      </x:c>
      <x:c r="H17" s="11" t="s">
        <x:v>144</x:v>
      </x:c>
      <x:c r="I17" s="11" t="s">
        <x:v>145</x:v>
      </x:c>
      <x:c r="J17" s="11" t="s">
        <x:v>97</x:v>
      </x:c>
      <x:c r="K17" s="13"/>
      <x:c r="L17" s="13"/>
      <x:c r="M17" s="14" t="str">
        <x:f t="shared" si="0"/>
      </x:c>
      <x:c r="N17" s="11" t="s">
        <x:v>83</x:v>
      </x:c>
    </x:row>
    <x:row r="18" ht="71.25">
      <x:c r="A18" s="11">
        <x:v>17</x:v>
      </x:c>
      <x:c r="B18" s="11" t="s">
        <x:v>76</x:v>
      </x:c>
      <x:c r="C18" s="11" t="s">
        <x:v>146</x:v>
      </x:c>
      <x:c r="D18" s="12">
        <x:v>46189.875</x:v>
      </x:c>
      <x:c r="E18" s="11" t="s">
        <x:v>78</x:v>
      </x:c>
      <x:c r="F18" s="12">
        <x:v>46189.625</x:v>
      </x:c>
      <x:c r="G18" s="11" t="s">
        <x:v>79</x:v>
      </x:c>
      <x:c r="H18" s="11" t="s">
        <x:v>147</x:v>
      </x:c>
      <x:c r="I18" s="11" t="s">
        <x:v>148</x:v>
      </x:c>
      <x:c r="J18" s="11" t="s">
        <x:v>106</x:v>
      </x:c>
      <x:c r="K18" s="13"/>
      <x:c r="L18" s="13"/>
      <x:c r="M18" s="14" t="str">
        <x:f t="shared" si="0"/>
      </x:c>
      <x:c r="N18" s="11" t="s">
        <x:v>83</x:v>
      </x:c>
    </x:row>
    <x:row r="19" ht="71.25">
      <x:c r="A19" s="11">
        <x:v>18</x:v>
      </x:c>
      <x:c r="B19" s="11" t="s">
        <x:v>76</x:v>
      </x:c>
      <x:c r="C19" s="11" t="s">
        <x:v>146</x:v>
      </x:c>
      <x:c r="D19" s="12">
        <x:v>46190</x:v>
      </x:c>
      <x:c r="E19" s="11" t="s">
        <x:v>102</x:v>
      </x:c>
      <x:c r="F19" s="12">
        <x:v>46189.75</x:v>
      </x:c>
      <x:c r="G19" s="11" t="s">
        <x:v>103</x:v>
      </x:c>
      <x:c r="H19" s="11" t="s">
        <x:v>149</x:v>
      </x:c>
      <x:c r="I19" s="11" t="s">
        <x:v>150</x:v>
      </x:c>
      <x:c r="J19" s="11" t="s">
        <x:v>109</x:v>
      </x:c>
      <x:c r="K19" s="13"/>
      <x:c r="L19" s="13"/>
      <x:c r="M19" s="14" t="str">
        <x:f t="shared" si="0"/>
      </x:c>
      <x:c r="N19" s="11" t="s">
        <x:v>83</x:v>
      </x:c>
    </x:row>
    <x:row r="20" ht="71.25">
      <x:c r="A20" s="11">
        <x:v>19</x:v>
      </x:c>
      <x:c r="B20" s="11" t="s">
        <x:v>76</x:v>
      </x:c>
      <x:c r="C20" s="11" t="s">
        <x:v>151</x:v>
      </x:c>
      <x:c r="D20" s="12">
        <x:v>46190.125</x:v>
      </x:c>
      <x:c r="E20" s="11" t="s">
        <x:v>94</x:v>
      </x:c>
      <x:c r="F20" s="12">
        <x:v>46189.875</x:v>
      </x:c>
      <x:c r="G20" s="11" t="s">
        <x:v>78</x:v>
      </x:c>
      <x:c r="H20" s="11" t="s">
        <x:v>152</x:v>
      </x:c>
      <x:c r="I20" s="11" t="s">
        <x:v>153</x:v>
      </x:c>
      <x:c r="J20" s="11" t="s">
        <x:v>154</x:v>
      </x:c>
      <x:c r="K20" s="13"/>
      <x:c r="L20" s="13"/>
      <x:c r="M20" s="14" t="str">
        <x:f t="shared" si="0"/>
      </x:c>
      <x:c r="N20" s="11" t="s">
        <x:v>83</x:v>
      </x:c>
    </x:row>
    <x:row r="21" ht="71.25">
      <x:c r="A21" s="11">
        <x:v>20</x:v>
      </x:c>
      <x:c r="B21" s="11" t="s">
        <x:v>76</x:v>
      </x:c>
      <x:c r="C21" s="11" t="s">
        <x:v>151</x:v>
      </x:c>
      <x:c r="D21" s="12">
        <x:v>46190.25</x:v>
      </x:c>
      <x:c r="E21" s="11" t="s">
        <x:v>110</x:v>
      </x:c>
      <x:c r="F21" s="12">
        <x:v>46190</x:v>
      </x:c>
      <x:c r="G21" s="11" t="s">
        <x:v>102</x:v>
      </x:c>
      <x:c r="H21" s="11" t="s">
        <x:v>155</x:v>
      </x:c>
      <x:c r="I21" s="11" t="s">
        <x:v>156</x:v>
      </x:c>
      <x:c r="J21" s="11" t="s">
        <x:v>100</x:v>
      </x:c>
      <x:c r="K21" s="13"/>
      <x:c r="L21" s="13"/>
      <x:c r="M21" s="14" t="str">
        <x:f t="shared" si="0"/>
      </x:c>
      <x:c r="N21" s="11" t="s">
        <x:v>83</x:v>
      </x:c>
    </x:row>
    <x:row r="22" ht="71.25">
      <x:c r="A22" s="11">
        <x:v>21</x:v>
      </x:c>
      <x:c r="B22" s="11" t="s">
        <x:v>76</x:v>
      </x:c>
      <x:c r="C22" s="11" t="s">
        <x:v>157</x:v>
      </x:c>
      <x:c r="D22" s="12">
        <x:v>46190.791666666664</x:v>
      </x:c>
      <x:c r="E22" s="11" t="s">
        <x:v>115</x:v>
      </x:c>
      <x:c r="F22" s="12">
        <x:v>46190.541666666664</x:v>
      </x:c>
      <x:c r="G22" s="11" t="s">
        <x:v>116</x:v>
      </x:c>
      <x:c r="H22" s="11" t="s">
        <x:v>158</x:v>
      </x:c>
      <x:c r="I22" s="11" t="s">
        <x:v>159</x:v>
      </x:c>
      <x:c r="J22" s="11" t="s">
        <x:v>119</x:v>
      </x:c>
      <x:c r="K22" s="13"/>
      <x:c r="L22" s="13"/>
      <x:c r="M22" s="14" t="str">
        <x:f t="shared" si="0"/>
      </x:c>
      <x:c r="N22" s="11" t="s">
        <x:v>83</x:v>
      </x:c>
    </x:row>
    <x:row r="23" ht="71.25">
      <x:c r="A23" s="11">
        <x:v>22</x:v>
      </x:c>
      <x:c r="B23" s="11" t="s">
        <x:v>76</x:v>
      </x:c>
      <x:c r="C23" s="11" t="s">
        <x:v>160</x:v>
      </x:c>
      <x:c r="D23" s="12">
        <x:v>46190.916666666664</x:v>
      </x:c>
      <x:c r="E23" s="11" t="s">
        <x:v>85</x:v>
      </x:c>
      <x:c r="F23" s="12">
        <x:v>46190.666666666664</x:v>
      </x:c>
      <x:c r="G23" s="11" t="s">
        <x:v>121</x:v>
      </x:c>
      <x:c r="H23" s="11" t="s">
        <x:v>161</x:v>
      </x:c>
      <x:c r="I23" s="11" t="s">
        <x:v>162</x:v>
      </x:c>
      <x:c r="J23" s="11" t="s">
        <x:v>124</x:v>
      </x:c>
      <x:c r="K23" s="13"/>
      <x:c r="L23" s="13"/>
      <x:c r="M23" s="14" t="str">
        <x:f t="shared" si="0"/>
      </x:c>
      <x:c r="N23" s="11" t="s">
        <x:v>83</x:v>
      </x:c>
    </x:row>
    <x:row r="24" ht="71.25">
      <x:c r="A24" s="11">
        <x:v>23</x:v>
      </x:c>
      <x:c r="B24" s="11" t="s">
        <x:v>76</x:v>
      </x:c>
      <x:c r="C24" s="11" t="s">
        <x:v>160</x:v>
      </x:c>
      <x:c r="D24" s="12">
        <x:v>46191.041666666664</x:v>
      </x:c>
      <x:c r="E24" s="11" t="s">
        <x:v>125</x:v>
      </x:c>
      <x:c r="F24" s="12">
        <x:v>46190.791666666664</x:v>
      </x:c>
      <x:c r="G24" s="11" t="s">
        <x:v>115</x:v>
      </x:c>
      <x:c r="H24" s="11" t="s">
        <x:v>163</x:v>
      </x:c>
      <x:c r="I24" s="11" t="s">
        <x:v>164</x:v>
      </x:c>
      <x:c r="J24" s="11" t="s">
        <x:v>92</x:v>
      </x:c>
      <x:c r="K24" s="13"/>
      <x:c r="L24" s="13"/>
      <x:c r="M24" s="14" t="str">
        <x:f t="shared" si="0"/>
      </x:c>
      <x:c r="N24" s="11" t="s">
        <x:v>83</x:v>
      </x:c>
    </x:row>
    <x:row r="25" ht="71.25">
      <x:c r="A25" s="11">
        <x:v>24</x:v>
      </x:c>
      <x:c r="B25" s="11" t="s">
        <x:v>76</x:v>
      </x:c>
      <x:c r="C25" s="11" t="s">
        <x:v>157</x:v>
      </x:c>
      <x:c r="D25" s="12">
        <x:v>46191.166666666664</x:v>
      </x:c>
      <x:c r="E25" s="11" t="s">
        <x:v>84</x:v>
      </x:c>
      <x:c r="F25" s="12">
        <x:v>46190.916666666664</x:v>
      </x:c>
      <x:c r="G25" s="11" t="s">
        <x:v>85</x:v>
      </x:c>
      <x:c r="H25" s="11" t="s">
        <x:v>165</x:v>
      </x:c>
      <x:c r="I25" s="11" t="s">
        <x:v>166</x:v>
      </x:c>
      <x:c r="J25" s="11" t="s">
        <x:v>82</x:v>
      </x:c>
      <x:c r="K25" s="13"/>
      <x:c r="L25" s="13"/>
      <x:c r="M25" s="14" t="str">
        <x:f t="shared" si="0"/>
      </x:c>
      <x:c r="N25" s="11" t="s">
        <x:v>83</x:v>
      </x:c>
    </x:row>
    <x:row r="26" ht="71.25">
      <x:c r="A26" s="11">
        <x:v>25</x:v>
      </x:c>
      <x:c r="B26" s="11" t="s">
        <x:v>76</x:v>
      </x:c>
      <x:c r="C26" s="11" t="s">
        <x:v>77</x:v>
      </x:c>
      <x:c r="D26" s="12">
        <x:v>46191.75</x:v>
      </x:c>
      <x:c r="E26" s="11" t="s">
        <x:v>103</x:v>
      </x:c>
      <x:c r="F26" s="12">
        <x:v>46191.5</x:v>
      </x:c>
      <x:c r="G26" s="11" t="s">
        <x:v>133</x:v>
      </x:c>
      <x:c r="H26" s="11" t="s">
        <x:v>87</x:v>
      </x:c>
      <x:c r="I26" s="11" t="s">
        <x:v>81</x:v>
      </x:c>
      <x:c r="J26" s="11" t="s">
        <x:v>136</x:v>
      </x:c>
      <x:c r="K26" s="13"/>
      <x:c r="L26" s="13"/>
      <x:c r="M26" s="14" t="str">
        <x:f t="shared" si="0"/>
      </x:c>
      <x:c r="N26" s="11" t="s">
        <x:v>83</x:v>
      </x:c>
    </x:row>
    <x:row r="27" ht="71.25">
      <x:c r="A27" s="11">
        <x:v>26</x:v>
      </x:c>
      <x:c r="B27" s="11" t="s">
        <x:v>76</x:v>
      </x:c>
      <x:c r="C27" s="11" t="s">
        <x:v>89</x:v>
      </x:c>
      <x:c r="D27" s="12">
        <x:v>46191.875</x:v>
      </x:c>
      <x:c r="E27" s="11" t="s">
        <x:v>78</x:v>
      </x:c>
      <x:c r="F27" s="12">
        <x:v>46191.625</x:v>
      </x:c>
      <x:c r="G27" s="11" t="s">
        <x:v>79</x:v>
      </x:c>
      <x:c r="H27" s="11" t="s">
        <x:v>99</x:v>
      </x:c>
      <x:c r="I27" s="11" t="s">
        <x:v>91</x:v>
      </x:c>
      <x:c r="J27" s="11" t="s">
        <x:v>97</x:v>
      </x:c>
      <x:c r="K27" s="13"/>
      <x:c r="L27" s="13"/>
      <x:c r="M27" s="14" t="str">
        <x:f t="shared" si="0"/>
      </x:c>
      <x:c r="N27" s="11" t="s">
        <x:v>83</x:v>
      </x:c>
    </x:row>
    <x:row r="28" ht="71.25">
      <x:c r="A28" s="11">
        <x:v>27</x:v>
      </x:c>
      <x:c r="B28" s="11" t="s">
        <x:v>76</x:v>
      </x:c>
      <x:c r="C28" s="11" t="s">
        <x:v>89</x:v>
      </x:c>
      <x:c r="D28" s="12">
        <x:v>46192</x:v>
      </x:c>
      <x:c r="E28" s="11" t="s">
        <x:v>102</x:v>
      </x:c>
      <x:c r="F28" s="12">
        <x:v>46191.75</x:v>
      </x:c>
      <x:c r="G28" s="11" t="s">
        <x:v>103</x:v>
      </x:c>
      <x:c r="H28" s="11" t="s">
        <x:v>90</x:v>
      </x:c>
      <x:c r="I28" s="11" t="s">
        <x:v>98</x:v>
      </x:c>
      <x:c r="J28" s="11" t="s">
        <x:v>113</x:v>
      </x:c>
      <x:c r="K28" s="13"/>
      <x:c r="L28" s="13"/>
      <x:c r="M28" s="14" t="str">
        <x:f t="shared" si="0"/>
      </x:c>
      <x:c r="N28" s="11" t="s">
        <x:v>83</x:v>
      </x:c>
    </x:row>
    <x:row r="29" ht="71.25">
      <x:c r="A29" s="11">
        <x:v>28</x:v>
      </x:c>
      <x:c r="B29" s="11" t="s">
        <x:v>76</x:v>
      </x:c>
      <x:c r="C29" s="11" t="s">
        <x:v>77</x:v>
      </x:c>
      <x:c r="D29" s="12">
        <x:v>46192.125</x:v>
      </x:c>
      <x:c r="E29" s="11" t="s">
        <x:v>94</x:v>
      </x:c>
      <x:c r="F29" s="12">
        <x:v>46191.875</x:v>
      </x:c>
      <x:c r="G29" s="11" t="s">
        <x:v>78</x:v>
      </x:c>
      <x:c r="H29" s="11" t="s">
        <x:v>80</x:v>
      </x:c>
      <x:c r="I29" s="11" t="s">
        <x:v>86</x:v>
      </x:c>
      <x:c r="J29" s="11" t="s">
        <x:v>88</x:v>
      </x:c>
      <x:c r="K29" s="13"/>
      <x:c r="L29" s="13"/>
      <x:c r="M29" s="14" t="str">
        <x:f t="shared" si="0"/>
      </x:c>
      <x:c r="N29" s="11" t="s">
        <x:v>83</x:v>
      </x:c>
    </x:row>
    <x:row r="30" ht="71.25">
      <x:c r="A30" s="11">
        <x:v>29</x:v>
      </x:c>
      <x:c r="B30" s="11" t="s">
        <x:v>76</x:v>
      </x:c>
      <x:c r="C30" s="11" t="s">
        <x:v>93</x:v>
      </x:c>
      <x:c r="D30" s="12">
        <x:v>46192.875</x:v>
      </x:c>
      <x:c r="E30" s="11" t="s">
        <x:v>78</x:v>
      </x:c>
      <x:c r="F30" s="12">
        <x:v>46192.625</x:v>
      </x:c>
      <x:c r="G30" s="11" t="s">
        <x:v>79</x:v>
      </x:c>
      <x:c r="H30" s="11" t="s">
        <x:v>95</x:v>
      </x:c>
      <x:c r="I30" s="11" t="s">
        <x:v>111</x:v>
      </x:c>
      <x:c r="J30" s="11" t="s">
        <x:v>140</x:v>
      </x:c>
      <x:c r="K30" s="13"/>
      <x:c r="L30" s="13"/>
      <x:c r="M30" s="14" t="str">
        <x:f t="shared" si="0"/>
      </x:c>
      <x:c r="N30" s="11" t="s">
        <x:v>83</x:v>
      </x:c>
    </x:row>
    <x:row r="31" ht="71.25">
      <x:c r="A31" s="11">
        <x:v>30</x:v>
      </x:c>
      <x:c r="B31" s="11" t="s">
        <x:v>76</x:v>
      </x:c>
      <x:c r="C31" s="11" t="s">
        <x:v>101</x:v>
      </x:c>
      <x:c r="D31" s="12">
        <x:v>46193</x:v>
      </x:c>
      <x:c r="E31" s="11" t="s">
        <x:v>102</x:v>
      </x:c>
      <x:c r="F31" s="12">
        <x:v>46192.75</x:v>
      </x:c>
      <x:c r="G31" s="11" t="s">
        <x:v>103</x:v>
      </x:c>
      <x:c r="H31" s="11" t="s">
        <x:v>108</x:v>
      </x:c>
      <x:c r="I31" s="11" t="s">
        <x:v>105</x:v>
      </x:c>
      <x:c r="J31" s="11" t="s">
        <x:v>109</x:v>
      </x:c>
      <x:c r="K31" s="13"/>
      <x:c r="L31" s="13"/>
      <x:c r="M31" s="14" t="str">
        <x:f t="shared" si="0"/>
      </x:c>
      <x:c r="N31" s="11" t="s">
        <x:v>83</x:v>
      </x:c>
    </x:row>
    <x:row r="32" ht="71.25">
      <x:c r="A32" s="11">
        <x:v>31</x:v>
      </x:c>
      <x:c r="B32" s="11" t="s">
        <x:v>76</x:v>
      </x:c>
      <x:c r="C32" s="11" t="s">
        <x:v>101</x:v>
      </x:c>
      <x:c r="D32" s="12">
        <x:v>46193.104166666664</x:v>
      </x:c>
      <x:c r="E32" s="11" t="s">
        <x:v>167</x:v>
      </x:c>
      <x:c r="F32" s="12">
        <x:v>46192.854166666664</x:v>
      </x:c>
      <x:c r="G32" s="11" t="s">
        <x:v>168</x:v>
      </x:c>
      <x:c r="H32" s="11" t="s">
        <x:v>104</x:v>
      </x:c>
      <x:c r="I32" s="11" t="s">
        <x:v>107</x:v>
      </x:c>
      <x:c r="J32" s="11" t="s">
        <x:v>128</x:v>
      </x:c>
      <x:c r="K32" s="13"/>
      <x:c r="L32" s="13"/>
      <x:c r="M32" s="14" t="str">
        <x:f t="shared" si="0"/>
      </x:c>
      <x:c r="N32" s="11" t="s">
        <x:v>83</x:v>
      </x:c>
    </x:row>
    <x:row r="33" ht="71.25">
      <x:c r="A33" s="11">
        <x:v>32</x:v>
      </x:c>
      <x:c r="B33" s="11" t="s">
        <x:v>76</x:v>
      </x:c>
      <x:c r="C33" s="11" t="s">
        <x:v>93</x:v>
      </x:c>
      <x:c r="D33" s="12">
        <x:v>46193.208333333336</x:v>
      </x:c>
      <x:c r="E33" s="11" t="s">
        <x:v>169</x:v>
      </x:c>
      <x:c r="F33" s="12">
        <x:v>46192.958333333336</x:v>
      </x:c>
      <x:c r="G33" s="11" t="s">
        <x:v>170</x:v>
      </x:c>
      <x:c r="H33" s="11" t="s">
        <x:v>112</x:v>
      </x:c>
      <x:c r="I33" s="11" t="s">
        <x:v>96</x:v>
      </x:c>
      <x:c r="J33" s="11" t="s">
        <x:v>100</x:v>
      </x:c>
      <x:c r="K33" s="13"/>
      <x:c r="L33" s="13"/>
      <x:c r="M33" s="14" t="str">
        <x:f t="shared" si="0"/>
      </x:c>
      <x:c r="N33" s="11" t="s">
        <x:v>83</x:v>
      </x:c>
    </x:row>
    <x:row r="34" ht="71.25">
      <x:c r="A34" s="11">
        <x:v>33</x:v>
      </x:c>
      <x:c r="B34" s="11" t="s">
        <x:v>76</x:v>
      </x:c>
      <x:c r="C34" s="11" t="s">
        <x:v>120</x:v>
      </x:c>
      <x:c r="D34" s="12">
        <x:v>46193.791666666664</x:v>
      </x:c>
      <x:c r="E34" s="11" t="s">
        <x:v>115</x:v>
      </x:c>
      <x:c r="F34" s="12">
        <x:v>46193.541666666664</x:v>
      </x:c>
      <x:c r="G34" s="11" t="s">
        <x:v>116</x:v>
      </x:c>
      <x:c r="H34" s="11" t="s">
        <x:v>122</x:v>
      </x:c>
      <x:c r="I34" s="11" t="s">
        <x:v>129</x:v>
      </x:c>
      <x:c r="J34" s="11" t="s">
        <x:v>119</x:v>
      </x:c>
      <x:c r="K34" s="13"/>
      <x:c r="L34" s="13"/>
      <x:c r="M34" s="14" t="str">
        <x:f t="shared" ref="M34:M65" si="1">IF(OR(K34="",L34=""),"",IF(K34&gt;L34,"1",IF(K34=L34,"X","2")))</x:f>
      </x:c>
      <x:c r="N34" s="11" t="s">
        <x:v>83</x:v>
      </x:c>
    </x:row>
    <x:row r="35" ht="71.25">
      <x:c r="A35" s="11">
        <x:v>34</x:v>
      </x:c>
      <x:c r="B35" s="11" t="s">
        <x:v>76</x:v>
      </x:c>
      <x:c r="C35" s="11" t="s">
        <x:v>114</x:v>
      </x:c>
      <x:c r="D35" s="12">
        <x:v>46193.916666666664</x:v>
      </x:c>
      <x:c r="E35" s="11" t="s">
        <x:v>85</x:v>
      </x:c>
      <x:c r="F35" s="12">
        <x:v>46193.666666666664</x:v>
      </x:c>
      <x:c r="G35" s="11" t="s">
        <x:v>121</x:v>
      </x:c>
      <x:c r="H35" s="11" t="s">
        <x:v>117</x:v>
      </x:c>
      <x:c r="I35" s="11" t="s">
        <x:v>126</x:v>
      </x:c>
      <x:c r="J35" s="11" t="s">
        <x:v>92</x:v>
      </x:c>
      <x:c r="K35" s="13"/>
      <x:c r="L35" s="13"/>
      <x:c r="M35" s="14" t="str">
        <x:f t="shared" si="1"/>
      </x:c>
      <x:c r="N35" s="11" t="s">
        <x:v>83</x:v>
      </x:c>
    </x:row>
    <x:row r="36" ht="71.25">
      <x:c r="A36" s="11">
        <x:v>35</x:v>
      </x:c>
      <x:c r="B36" s="11" t="s">
        <x:v>76</x:v>
      </x:c>
      <x:c r="C36" s="11" t="s">
        <x:v>114</x:v>
      </x:c>
      <x:c r="D36" s="12">
        <x:v>46194.083333333336</x:v>
      </x:c>
      <x:c r="E36" s="11" t="s">
        <x:v>171</x:v>
      </x:c>
      <x:c r="F36" s="12">
        <x:v>46193.833333333336</x:v>
      </x:c>
      <x:c r="G36" s="11" t="s">
        <x:v>172</x:v>
      </x:c>
      <x:c r="H36" s="11" t="s">
        <x:v>127</x:v>
      </x:c>
      <x:c r="I36" s="11" t="s">
        <x:v>118</x:v>
      </x:c>
      <x:c r="J36" s="11" t="s">
        <x:v>154</x:v>
      </x:c>
      <x:c r="K36" s="13"/>
      <x:c r="L36" s="13"/>
      <x:c r="M36" s="14" t="str">
        <x:f t="shared" si="1"/>
      </x:c>
      <x:c r="N36" s="11" t="s">
        <x:v>83</x:v>
      </x:c>
    </x:row>
    <x:row r="37" ht="71.25">
      <x:c r="A37" s="11">
        <x:v>36</x:v>
      </x:c>
      <x:c r="B37" s="11" t="s">
        <x:v>76</x:v>
      </x:c>
      <x:c r="C37" s="11" t="s">
        <x:v>120</x:v>
      </x:c>
      <x:c r="D37" s="12">
        <x:v>46194.25</x:v>
      </x:c>
      <x:c r="E37" s="11" t="s">
        <x:v>110</x:v>
      </x:c>
      <x:c r="F37" s="12">
        <x:v>46194</x:v>
      </x:c>
      <x:c r="G37" s="11" t="s">
        <x:v>102</x:v>
      </x:c>
      <x:c r="H37" s="11" t="s">
        <x:v>130</x:v>
      </x:c>
      <x:c r="I37" s="11" t="s">
        <x:v>123</x:v>
      </x:c>
      <x:c r="J37" s="11" t="s">
        <x:v>131</x:v>
      </x:c>
      <x:c r="K37" s="13"/>
      <x:c r="L37" s="13"/>
      <x:c r="M37" s="14" t="str">
        <x:f t="shared" si="1"/>
      </x:c>
      <x:c r="N37" s="11" t="s">
        <x:v>83</x:v>
      </x:c>
    </x:row>
    <x:row r="38" ht="71.25">
      <x:c r="A38" s="11">
        <x:v>37</x:v>
      </x:c>
      <x:c r="B38" s="11" t="s">
        <x:v>76</x:v>
      </x:c>
      <x:c r="C38" s="11" t="s">
        <x:v>132</x:v>
      </x:c>
      <x:c r="D38" s="12">
        <x:v>46194.75</x:v>
      </x:c>
      <x:c r="E38" s="11" t="s">
        <x:v>103</x:v>
      </x:c>
      <x:c r="F38" s="12">
        <x:v>46194.5</x:v>
      </x:c>
      <x:c r="G38" s="11" t="s">
        <x:v>133</x:v>
      </x:c>
      <x:c r="H38" s="11" t="s">
        <x:v>134</x:v>
      </x:c>
      <x:c r="I38" s="11" t="s">
        <x:v>141</x:v>
      </x:c>
      <x:c r="J38" s="11" t="s">
        <x:v>136</x:v>
      </x:c>
      <x:c r="K38" s="13"/>
      <x:c r="L38" s="13"/>
      <x:c r="M38" s="14" t="str">
        <x:f t="shared" si="1"/>
      </x:c>
      <x:c r="N38" s="11" t="s">
        <x:v>83</x:v>
      </x:c>
    </x:row>
    <x:row r="39" ht="71.25">
      <x:c r="A39" s="11">
        <x:v>38</x:v>
      </x:c>
      <x:c r="B39" s="11" t="s">
        <x:v>76</x:v>
      </x:c>
      <x:c r="C39" s="11" t="s">
        <x:v>137</x:v>
      </x:c>
      <x:c r="D39" s="12">
        <x:v>46194.875</x:v>
      </x:c>
      <x:c r="E39" s="11" t="s">
        <x:v>78</x:v>
      </x:c>
      <x:c r="F39" s="12">
        <x:v>46194.625</x:v>
      </x:c>
      <x:c r="G39" s="11" t="s">
        <x:v>79</x:v>
      </x:c>
      <x:c r="H39" s="11" t="s">
        <x:v>138</x:v>
      </x:c>
      <x:c r="I39" s="11" t="s">
        <x:v>144</x:v>
      </x:c>
      <x:c r="J39" s="11" t="s">
        <x:v>97</x:v>
      </x:c>
      <x:c r="K39" s="13"/>
      <x:c r="L39" s="13"/>
      <x:c r="M39" s="14" t="str">
        <x:f t="shared" si="1"/>
      </x:c>
      <x:c r="N39" s="11" t="s">
        <x:v>83</x:v>
      </x:c>
    </x:row>
    <x:row r="40" ht="71.25">
      <x:c r="A40" s="11">
        <x:v>39</x:v>
      </x:c>
      <x:c r="B40" s="11" t="s">
        <x:v>76</x:v>
      </x:c>
      <x:c r="C40" s="11" t="s">
        <x:v>132</x:v>
      </x:c>
      <x:c r="D40" s="12">
        <x:v>46195</x:v>
      </x:c>
      <x:c r="E40" s="11" t="s">
        <x:v>102</x:v>
      </x:c>
      <x:c r="F40" s="12">
        <x:v>46194.75</x:v>
      </x:c>
      <x:c r="G40" s="11" t="s">
        <x:v>103</x:v>
      </x:c>
      <x:c r="H40" s="11" t="s">
        <x:v>142</x:v>
      </x:c>
      <x:c r="I40" s="11" t="s">
        <x:v>135</x:v>
      </x:c>
      <x:c r="J40" s="11" t="s">
        <x:v>143</x:v>
      </x:c>
      <x:c r="K40" s="13"/>
      <x:c r="L40" s="13"/>
      <x:c r="M40" s="14" t="str">
        <x:f t="shared" si="1"/>
      </x:c>
      <x:c r="N40" s="11" t="s">
        <x:v>83</x:v>
      </x:c>
    </x:row>
    <x:row r="41" ht="71.25">
      <x:c r="A41" s="11">
        <x:v>40</x:v>
      </x:c>
      <x:c r="B41" s="11" t="s">
        <x:v>76</x:v>
      </x:c>
      <x:c r="C41" s="11" t="s">
        <x:v>137</x:v>
      </x:c>
      <x:c r="D41" s="12">
        <x:v>46195.125</x:v>
      </x:c>
      <x:c r="E41" s="11" t="s">
        <x:v>94</x:v>
      </x:c>
      <x:c r="F41" s="12">
        <x:v>46194.875</x:v>
      </x:c>
      <x:c r="G41" s="11" t="s">
        <x:v>78</x:v>
      </x:c>
      <x:c r="H41" s="11" t="s">
        <x:v>145</x:v>
      </x:c>
      <x:c r="I41" s="11" t="s">
        <x:v>139</x:v>
      </x:c>
      <x:c r="J41" s="11" t="s">
        <x:v>113</x:v>
      </x:c>
      <x:c r="K41" s="13"/>
      <x:c r="L41" s="13"/>
      <x:c r="M41" s="14" t="str">
        <x:f t="shared" si="1"/>
      </x:c>
      <x:c r="N41" s="11" t="s">
        <x:v>83</x:v>
      </x:c>
    </x:row>
    <x:row r="42" ht="71.25">
      <x:c r="A42" s="11">
        <x:v>41</x:v>
      </x:c>
      <x:c r="B42" s="11" t="s">
        <x:v>76</x:v>
      </x:c>
      <x:c r="C42" s="11" t="s">
        <x:v>151</x:v>
      </x:c>
      <x:c r="D42" s="12">
        <x:v>46195.791666666664</x:v>
      </x:c>
      <x:c r="E42" s="11" t="s">
        <x:v>115</x:v>
      </x:c>
      <x:c r="F42" s="12">
        <x:v>46195.541666666664</x:v>
      </x:c>
      <x:c r="G42" s="11" t="s">
        <x:v>116</x:v>
      </x:c>
      <x:c r="H42" s="11" t="s">
        <x:v>152</x:v>
      </x:c>
      <x:c r="I42" s="11" t="s">
        <x:v>155</x:v>
      </x:c>
      <x:c r="J42" s="11" t="s">
        <x:v>124</x:v>
      </x:c>
      <x:c r="K42" s="13"/>
      <x:c r="L42" s="13"/>
      <x:c r="M42" s="14" t="str">
        <x:f t="shared" si="1"/>
      </x:c>
      <x:c r="N42" s="11" t="s">
        <x:v>83</x:v>
      </x:c>
    </x:row>
    <x:row r="43" ht="71.25">
      <x:c r="A43" s="11">
        <x:v>42</x:v>
      </x:c>
      <x:c r="B43" s="11" t="s">
        <x:v>76</x:v>
      </x:c>
      <x:c r="C43" s="11" t="s">
        <x:v>146</x:v>
      </x:c>
      <x:c r="D43" s="12">
        <x:v>46195.958333333336</x:v>
      </x:c>
      <x:c r="E43" s="11" t="s">
        <x:v>170</x:v>
      </x:c>
      <x:c r="F43" s="12">
        <x:v>46195.708333333336</x:v>
      </x:c>
      <x:c r="G43" s="11" t="s">
        <x:v>173</x:v>
      </x:c>
      <x:c r="H43" s="11" t="s">
        <x:v>147</x:v>
      </x:c>
      <x:c r="I43" s="11" t="s">
        <x:v>149</x:v>
      </x:c>
      <x:c r="J43" s="11" t="s">
        <x:v>128</x:v>
      </x:c>
      <x:c r="K43" s="13"/>
      <x:c r="L43" s="13"/>
      <x:c r="M43" s="14" t="str">
        <x:f t="shared" si="1"/>
      </x:c>
      <x:c r="N43" s="11" t="s">
        <x:v>83</x:v>
      </x:c>
    </x:row>
    <x:row r="44" ht="71.25">
      <x:c r="A44" s="11">
        <x:v>43</x:v>
      </x:c>
      <x:c r="B44" s="11" t="s">
        <x:v>76</x:v>
      </x:c>
      <x:c r="C44" s="11" t="s">
        <x:v>146</x:v>
      </x:c>
      <x:c r="D44" s="12">
        <x:v>46196.083333333336</x:v>
      </x:c>
      <x:c r="E44" s="11" t="s">
        <x:v>171</x:v>
      </x:c>
      <x:c r="F44" s="12">
        <x:v>46195.833333333336</x:v>
      </x:c>
      <x:c r="G44" s="11" t="s">
        <x:v>172</x:v>
      </x:c>
      <x:c r="H44" s="11" t="s">
        <x:v>150</x:v>
      </x:c>
      <x:c r="I44" s="11" t="s">
        <x:v>148</x:v>
      </x:c>
      <x:c r="J44" s="11" t="s">
        <x:v>106</x:v>
      </x:c>
      <x:c r="K44" s="13"/>
      <x:c r="L44" s="13"/>
      <x:c r="M44" s="14" t="str">
        <x:f t="shared" si="1"/>
      </x:c>
      <x:c r="N44" s="11" t="s">
        <x:v>83</x:v>
      </x:c>
    </x:row>
    <x:row r="45" ht="71.25">
      <x:c r="A45" s="11">
        <x:v>44</x:v>
      </x:c>
      <x:c r="B45" s="11" t="s">
        <x:v>76</x:v>
      </x:c>
      <x:c r="C45" s="11" t="s">
        <x:v>151</x:v>
      </x:c>
      <x:c r="D45" s="12">
        <x:v>46196.208333333336</x:v>
      </x:c>
      <x:c r="E45" s="11" t="s">
        <x:v>169</x:v>
      </x:c>
      <x:c r="F45" s="12">
        <x:v>46195.958333333336</x:v>
      </x:c>
      <x:c r="G45" s="11" t="s">
        <x:v>170</x:v>
      </x:c>
      <x:c r="H45" s="11" t="s">
        <x:v>156</x:v>
      </x:c>
      <x:c r="I45" s="11" t="s">
        <x:v>153</x:v>
      </x:c>
      <x:c r="J45" s="11" t="s">
        <x:v>100</x:v>
      </x:c>
      <x:c r="K45" s="13"/>
      <x:c r="L45" s="13"/>
      <x:c r="M45" s="14" t="str">
        <x:f t="shared" si="1"/>
      </x:c>
      <x:c r="N45" s="11" t="s">
        <x:v>83</x:v>
      </x:c>
    </x:row>
    <x:row r="46" ht="71.25">
      <x:c r="A46" s="11">
        <x:v>45</x:v>
      </x:c>
      <x:c r="B46" s="11" t="s">
        <x:v>76</x:v>
      </x:c>
      <x:c r="C46" s="11" t="s">
        <x:v>157</x:v>
      </x:c>
      <x:c r="D46" s="12">
        <x:v>46196.791666666664</x:v>
      </x:c>
      <x:c r="E46" s="11" t="s">
        <x:v>115</x:v>
      </x:c>
      <x:c r="F46" s="12">
        <x:v>46196.541666666664</x:v>
      </x:c>
      <x:c r="G46" s="11" t="s">
        <x:v>116</x:v>
      </x:c>
      <x:c r="H46" s="11" t="s">
        <x:v>158</x:v>
      </x:c>
      <x:c r="I46" s="11" t="s">
        <x:v>165</x:v>
      </x:c>
      <x:c r="J46" s="11" t="s">
        <x:v>119</x:v>
      </x:c>
      <x:c r="K46" s="13"/>
      <x:c r="L46" s="13"/>
      <x:c r="M46" s="14" t="str">
        <x:f t="shared" si="1"/>
      </x:c>
      <x:c r="N46" s="11" t="s">
        <x:v>83</x:v>
      </x:c>
    </x:row>
    <x:row r="47" ht="71.25">
      <x:c r="A47" s="11">
        <x:v>46</x:v>
      </x:c>
      <x:c r="B47" s="11" t="s">
        <x:v>76</x:v>
      </x:c>
      <x:c r="C47" s="11" t="s">
        <x:v>160</x:v>
      </x:c>
      <x:c r="D47" s="12">
        <x:v>46196.916666666664</x:v>
      </x:c>
      <x:c r="E47" s="11" t="s">
        <x:v>85</x:v>
      </x:c>
      <x:c r="F47" s="12">
        <x:v>46196.666666666664</x:v>
      </x:c>
      <x:c r="G47" s="11" t="s">
        <x:v>121</x:v>
      </x:c>
      <x:c r="H47" s="11" t="s">
        <x:v>161</x:v>
      </x:c>
      <x:c r="I47" s="11" t="s">
        <x:v>163</x:v>
      </x:c>
      <x:c r="J47" s="11" t="s">
        <x:v>109</x:v>
      </x:c>
      <x:c r="K47" s="13"/>
      <x:c r="L47" s="13"/>
      <x:c r="M47" s="14" t="str">
        <x:f t="shared" si="1"/>
      </x:c>
      <x:c r="N47" s="11" t="s">
        <x:v>83</x:v>
      </x:c>
    </x:row>
    <x:row r="48" ht="71.25">
      <x:c r="A48" s="11">
        <x:v>47</x:v>
      </x:c>
      <x:c r="B48" s="11" t="s">
        <x:v>76</x:v>
      </x:c>
      <x:c r="C48" s="11" t="s">
        <x:v>160</x:v>
      </x:c>
      <x:c r="D48" s="12">
        <x:v>46197.041666666664</x:v>
      </x:c>
      <x:c r="E48" s="11" t="s">
        <x:v>125</x:v>
      </x:c>
      <x:c r="F48" s="12">
        <x:v>46196.791666666664</x:v>
      </x:c>
      <x:c r="G48" s="11" t="s">
        <x:v>115</x:v>
      </x:c>
      <x:c r="H48" s="11" t="s">
        <x:v>164</x:v>
      </x:c>
      <x:c r="I48" s="11" t="s">
        <x:v>162</x:v>
      </x:c>
      <x:c r="J48" s="11" t="s">
        <x:v>92</x:v>
      </x:c>
      <x:c r="K48" s="13"/>
      <x:c r="L48" s="13"/>
      <x:c r="M48" s="14" t="str">
        <x:f t="shared" si="1"/>
      </x:c>
      <x:c r="N48" s="11" t="s">
        <x:v>83</x:v>
      </x:c>
    </x:row>
    <x:row r="49" ht="71.25">
      <x:c r="A49" s="11">
        <x:v>48</x:v>
      </x:c>
      <x:c r="B49" s="11" t="s">
        <x:v>76</x:v>
      </x:c>
      <x:c r="C49" s="11" t="s">
        <x:v>157</x:v>
      </x:c>
      <x:c r="D49" s="12">
        <x:v>46197.166666666664</x:v>
      </x:c>
      <x:c r="E49" s="11" t="s">
        <x:v>84</x:v>
      </x:c>
      <x:c r="F49" s="12">
        <x:v>46196.916666666664</x:v>
      </x:c>
      <x:c r="G49" s="11" t="s">
        <x:v>85</x:v>
      </x:c>
      <x:c r="H49" s="11" t="s">
        <x:v>166</x:v>
      </x:c>
      <x:c r="I49" s="11" t="s">
        <x:v>159</x:v>
      </x:c>
      <x:c r="J49" s="11" t="s">
        <x:v>88</x:v>
      </x:c>
      <x:c r="K49" s="13"/>
      <x:c r="L49" s="13"/>
      <x:c r="M49" s="14" t="str">
        <x:f t="shared" si="1"/>
      </x:c>
      <x:c r="N49" s="11" t="s">
        <x:v>83</x:v>
      </x:c>
    </x:row>
    <x:row r="50" ht="71.25">
      <x:c r="A50" s="11">
        <x:v>49</x:v>
      </x:c>
      <x:c r="B50" s="11" t="s">
        <x:v>76</x:v>
      </x:c>
      <x:c r="C50" s="11" t="s">
        <x:v>89</x:v>
      </x:c>
      <x:c r="D50" s="12">
        <x:v>46197.875</x:v>
      </x:c>
      <x:c r="E50" s="11" t="s">
        <x:v>78</x:v>
      </x:c>
      <x:c r="F50" s="12">
        <x:v>46197.625</x:v>
      </x:c>
      <x:c r="G50" s="11" t="s">
        <x:v>79</x:v>
      </x:c>
      <x:c r="H50" s="11" t="s">
        <x:v>99</x:v>
      </x:c>
      <x:c r="I50" s="11" t="s">
        <x:v>90</x:v>
      </x:c>
      <x:c r="J50" s="11" t="s">
        <x:v>113</x:v>
      </x:c>
      <x:c r="K50" s="13"/>
      <x:c r="L50" s="13"/>
      <x:c r="M50" s="14" t="str">
        <x:f t="shared" si="1"/>
      </x:c>
      <x:c r="N50" s="11" t="s">
        <x:v>83</x:v>
      </x:c>
    </x:row>
    <x:row r="51" ht="71.25">
      <x:c r="A51" s="11">
        <x:v>50</x:v>
      </x:c>
      <x:c r="B51" s="11" t="s">
        <x:v>76</x:v>
      </x:c>
      <x:c r="C51" s="11" t="s">
        <x:v>89</x:v>
      </x:c>
      <x:c r="D51" s="12">
        <x:v>46197.875</x:v>
      </x:c>
      <x:c r="E51" s="11" t="s">
        <x:v>78</x:v>
      </x:c>
      <x:c r="F51" s="12">
        <x:v>46197.625</x:v>
      </x:c>
      <x:c r="G51" s="11" t="s">
        <x:v>79</x:v>
      </x:c>
      <x:c r="H51" s="11" t="s">
        <x:v>91</x:v>
      </x:c>
      <x:c r="I51" s="11" t="s">
        <x:v>98</x:v>
      </x:c>
      <x:c r="J51" s="11" t="s">
        <x:v>140</x:v>
      </x:c>
      <x:c r="K51" s="13"/>
      <x:c r="L51" s="13"/>
      <x:c r="M51" s="14" t="str">
        <x:f t="shared" si="1"/>
      </x:c>
      <x:c r="N51" s="11" t="s">
        <x:v>83</x:v>
      </x:c>
    </x:row>
    <x:row r="52" ht="71.25">
      <x:c r="A52" s="11">
        <x:v>51</x:v>
      </x:c>
      <x:c r="B52" s="11" t="str">
        <x:v>Gruppspel</x:v>
      </x:c>
      <x:c r="C52" s="11" t="str">
        <x:v>C</x:v>
      </x:c>
      <x:c r="D52" s="12" t="n">
        <x:v>46198</x:v>
      </x:c>
      <x:c r="E52" s="11" t="str">
        <x:v>00:00</x:v>
      </x:c>
      <x:c r="F52" s="12" t="n">
        <x:v>46197.75</x:v>
      </x:c>
      <x:c r="G52" s="11" t="str">
        <x:v>18:00</x:v>
      </x:c>
      <x:c r="H52" s="11" t="str">
        <x:v>Morocco</x:v>
      </x:c>
      <x:c r="I52" s="11" t="str">
        <x:v>Haiti</x:v>
      </x:c>
      <x:c r="J52" s="11" t="str">
        <x:v>Mercedes-Benz Stadium, Atlanta</x:v>
      </x:c>
      <x:c r="K52" s="13"/>
      <x:c r="L52" s="13"/>
      <x:c r="M52" s="14">
        <x:f t="shared" si="1"/>
      </x:c>
      <x:c r="N52" s="11" t="str">
        <x:v>https://www.fifa.com/en/tournaments/mens/worldcup/canadamexicousa2026/articles/match-schedule-fixtures-results-teams-stadiums</x:v>
      </x:c>
    </x:row>
    <x:row r="53" ht="71.25">
      <x:c r="A53" s="11">
        <x:v>52</x:v>
      </x:c>
      <x:c r="B53" s="11" t="str">
        <x:v>Gruppspel</x:v>
      </x:c>
      <x:c r="C53" s="11" t="str">
        <x:v>C</x:v>
      </x:c>
      <x:c r="D53" s="12" t="n">
        <x:v>46198</x:v>
      </x:c>
      <x:c r="E53" s="11" t="str">
        <x:v>00:00</x:v>
      </x:c>
      <x:c r="F53" s="12" t="n">
        <x:v>46197.75</x:v>
      </x:c>
      <x:c r="G53" s="11" t="str">
        <x:v>18:00</x:v>
      </x:c>
      <x:c r="H53" s="11" t="str">
        <x:v>Scotland</x:v>
      </x:c>
      <x:c r="I53" s="11" t="str">
        <x:v>Brazil</x:v>
      </x:c>
      <x:c r="J53" s="11" t="str">
        <x:v>Hard Rock Stadium, Miami Gardens</x:v>
      </x:c>
      <x:c r="K53" s="13"/>
      <x:c r="L53" s="13"/>
      <x:c r="M53" s="14">
        <x:f t="shared" si="1"/>
      </x:c>
      <x:c r="N53" s="11" t="str">
        <x:v>https://www.fifa.com/en/tournaments/mens/worldcup/canadamexicousa2026/articles/match-schedule-fixtures-results-teams-stadiums</x:v>
      </x:c>
    </x:row>
    <x:row r="54" ht="71.25">
      <x:c r="A54" s="11">
        <x:v>53</x:v>
      </x:c>
      <x:c r="B54" s="11" t="s">
        <x:v>76</x:v>
      </x:c>
      <x:c r="C54" s="11" t="s">
        <x:v>77</x:v>
      </x:c>
      <x:c r="D54" s="12">
        <x:v>46198.125</x:v>
      </x:c>
      <x:c r="E54" s="11" t="s">
        <x:v>94</x:v>
      </x:c>
      <x:c r="F54" s="12">
        <x:v>46197.875</x:v>
      </x:c>
      <x:c r="G54" s="11" t="s">
        <x:v>78</x:v>
      </x:c>
      <x:c r="H54" s="11" t="s">
        <x:v>87</x:v>
      </x:c>
      <x:c r="I54" s="11" t="s">
        <x:v>80</x:v>
      </x:c>
      <x:c r="J54" s="11" t="s">
        <x:v>82</x:v>
      </x:c>
      <x:c r="K54" s="13"/>
      <x:c r="L54" s="13"/>
      <x:c r="M54" s="14" t="str">
        <x:f t="shared" si="1"/>
      </x:c>
      <x:c r="N54" s="11" t="s">
        <x:v>83</x:v>
      </x:c>
    </x:row>
    <x:row r="55" ht="71.25">
      <x:c r="A55" s="11">
        <x:v>54</x:v>
      </x:c>
      <x:c r="B55" s="11" t="s">
        <x:v>76</x:v>
      </x:c>
      <x:c r="C55" s="11" t="s">
        <x:v>77</x:v>
      </x:c>
      <x:c r="D55" s="12">
        <x:v>46198.125</x:v>
      </x:c>
      <x:c r="E55" s="11" t="s">
        <x:v>94</x:v>
      </x:c>
      <x:c r="F55" s="12">
        <x:v>46197.875</x:v>
      </x:c>
      <x:c r="G55" s="11" t="s">
        <x:v>78</x:v>
      </x:c>
      <x:c r="H55" s="11" t="s">
        <x:v>81</x:v>
      </x:c>
      <x:c r="I55" s="11" t="s">
        <x:v>86</x:v>
      </x:c>
      <x:c r="J55" s="11" t="s">
        <x:v>131</x:v>
      </x:c>
      <x:c r="K55" s="13"/>
      <x:c r="L55" s="13"/>
      <x:c r="M55" s="14" t="str">
        <x:f t="shared" si="1"/>
      </x:c>
      <x:c r="N55" s="11" t="s">
        <x:v>83</x:v>
      </x:c>
    </x:row>
    <x:row r="56" ht="71.25">
      <x:c r="A56" s="11">
        <x:v>55</x:v>
      </x:c>
      <x:c r="B56" s="11" t="s">
        <x:v>76</x:v>
      </x:c>
      <x:c r="C56" s="11" t="s">
        <x:v>114</x:v>
      </x:c>
      <x:c r="D56" s="12">
        <x:v>46198.916666666664</x:v>
      </x:c>
      <x:c r="E56" s="11" t="s">
        <x:v>85</x:v>
      </x:c>
      <x:c r="F56" s="12">
        <x:v>46198.666666666664</x:v>
      </x:c>
      <x:c r="G56" s="11" t="s">
        <x:v>121</x:v>
      </x:c>
      <x:c r="H56" s="11" t="s">
        <x:v>118</x:v>
      </x:c>
      <x:c r="I56" s="11" t="s">
        <x:v>126</x:v>
      </x:c>
      <x:c r="J56" s="11" t="s">
        <x:v>128</x:v>
      </x:c>
      <x:c r="K56" s="13"/>
      <x:c r="L56" s="13"/>
      <x:c r="M56" s="14" t="str">
        <x:f t="shared" si="1"/>
      </x:c>
      <x:c r="N56" s="11" t="s">
        <x:v>83</x:v>
      </x:c>
    </x:row>
    <x:row r="57" ht="71.25">
      <x:c r="A57" s="11">
        <x:v>56</x:v>
      </x:c>
      <x:c r="B57" s="11" t="s">
        <x:v>76</x:v>
      </x:c>
      <x:c r="C57" s="11" t="s">
        <x:v>114</x:v>
      </x:c>
      <x:c r="D57" s="12">
        <x:v>46198.916666666664</x:v>
      </x:c>
      <x:c r="E57" s="11" t="s">
        <x:v>85</x:v>
      </x:c>
      <x:c r="F57" s="12">
        <x:v>46198.666666666664</x:v>
      </x:c>
      <x:c r="G57" s="11" t="s">
        <x:v>121</x:v>
      </x:c>
      <x:c r="H57" s="11" t="s">
        <x:v>127</x:v>
      </x:c>
      <x:c r="I57" s="11" t="s">
        <x:v>117</x:v>
      </x:c>
      <x:c r="J57" s="11" t="s">
        <x:v>106</x:v>
      </x:c>
      <x:c r="K57" s="13"/>
      <x:c r="L57" s="13"/>
      <x:c r="M57" s="14" t="str">
        <x:f t="shared" si="1"/>
      </x:c>
      <x:c r="N57" s="11" t="s">
        <x:v>83</x:v>
      </x:c>
    </x:row>
    <x:row r="58" ht="71.25">
      <x:c r="A58" s="11">
        <x:v>57</x:v>
      </x:c>
      <x:c r="B58" s="11" t="s">
        <x:v>76</x:v>
      </x:c>
      <x:c r="C58" s="11" t="s">
        <x:v>120</x:v>
      </x:c>
      <x:c r="D58" s="12">
        <x:v>46199.041666666664</x:v>
      </x:c>
      <x:c r="E58" s="11" t="s">
        <x:v>125</x:v>
      </x:c>
      <x:c r="F58" s="12">
        <x:v>46198.791666666664</x:v>
      </x:c>
      <x:c r="G58" s="11" t="s">
        <x:v>115</x:v>
      </x:c>
      <x:c r="H58" s="11" t="s">
        <x:v>123</x:v>
      </x:c>
      <x:c r="I58" s="11" t="s">
        <x:v>129</x:v>
      </x:c>
      <x:c r="J58" s="11" t="s">
        <x:v>124</x:v>
      </x:c>
      <x:c r="K58" s="13"/>
      <x:c r="L58" s="13"/>
      <x:c r="M58" s="14" t="str">
        <x:f t="shared" si="1"/>
      </x:c>
      <x:c r="N58" s="11" t="s">
        <x:v>83</x:v>
      </x:c>
    </x:row>
    <x:row r="59" ht="71.25">
      <x:c r="A59" s="11">
        <x:v>58</x:v>
      </x:c>
      <x:c r="B59" s="11" t="s">
        <x:v>76</x:v>
      </x:c>
      <x:c r="C59" s="11" t="s">
        <x:v>120</x:v>
      </x:c>
      <x:c r="D59" s="12">
        <x:v>46199.041666666664</x:v>
      </x:c>
      <x:c r="E59" s="11" t="s">
        <x:v>125</x:v>
      </x:c>
      <x:c r="F59" s="12">
        <x:v>46198.791666666664</x:v>
      </x:c>
      <x:c r="G59" s="11" t="s">
        <x:v>115</x:v>
      </x:c>
      <x:c r="H59" s="11" t="s">
        <x:v>130</x:v>
      </x:c>
      <x:c r="I59" s="11" t="s">
        <x:v>122</x:v>
      </x:c>
      <x:c r="J59" s="11" t="s">
        <x:v>154</x:v>
      </x:c>
      <x:c r="K59" s="13"/>
      <x:c r="L59" s="13"/>
      <x:c r="M59" s="14" t="str">
        <x:f t="shared" si="1"/>
      </x:c>
      <x:c r="N59" s="11" t="s">
        <x:v>83</x:v>
      </x:c>
    </x:row>
    <x:row r="60" ht="71.25">
      <x:c r="A60" s="11">
        <x:v>59</x:v>
      </x:c>
      <x:c r="B60" s="11" t="s">
        <x:v>76</x:v>
      </x:c>
      <x:c r="C60" s="11" t="s">
        <x:v>93</x:v>
      </x:c>
      <x:c r="D60" s="12">
        <x:v>46199.166666666664</x:v>
      </x:c>
      <x:c r="E60" s="11" t="s">
        <x:v>84</x:v>
      </x:c>
      <x:c r="F60" s="12">
        <x:v>46198.916666666664</x:v>
      </x:c>
      <x:c r="G60" s="11" t="s">
        <x:v>85</x:v>
      </x:c>
      <x:c r="H60" s="11" t="s">
        <x:v>112</x:v>
      </x:c>
      <x:c r="I60" s="11" t="s">
        <x:v>95</x:v>
      </x:c>
      <x:c r="J60" s="11" t="s">
        <x:v>97</x:v>
      </x:c>
      <x:c r="K60" s="13"/>
      <x:c r="L60" s="13"/>
      <x:c r="M60" s="14" t="str">
        <x:f t="shared" si="1"/>
      </x:c>
      <x:c r="N60" s="11" t="s">
        <x:v>83</x:v>
      </x:c>
    </x:row>
    <x:row r="61" ht="71.25">
      <x:c r="A61" s="11">
        <x:v>60</x:v>
      </x:c>
      <x:c r="B61" s="11" t="s">
        <x:v>76</x:v>
      </x:c>
      <x:c r="C61" s="11" t="s">
        <x:v>93</x:v>
      </x:c>
      <x:c r="D61" s="12">
        <x:v>46199.166666666664</x:v>
      </x:c>
      <x:c r="E61" s="11" t="s">
        <x:v>84</x:v>
      </x:c>
      <x:c r="F61" s="12">
        <x:v>46198.916666666664</x:v>
      </x:c>
      <x:c r="G61" s="11" t="s">
        <x:v>85</x:v>
      </x:c>
      <x:c r="H61" s="11" t="s">
        <x:v>96</x:v>
      </x:c>
      <x:c r="I61" s="11" t="s">
        <x:v>111</x:v>
      </x:c>
      <x:c r="J61" s="11" t="s">
        <x:v>100</x:v>
      </x:c>
      <x:c r="K61" s="13"/>
      <x:c r="L61" s="13"/>
      <x:c r="M61" s="14" t="str">
        <x:f t="shared" si="1"/>
      </x:c>
      <x:c r="N61" s="11" t="s">
        <x:v>83</x:v>
      </x:c>
    </x:row>
    <x:row r="62" ht="71.25">
      <x:c r="A62" s="11">
        <x:v>61</x:v>
      </x:c>
      <x:c r="B62" s="11" t="s">
        <x:v>76</x:v>
      </x:c>
      <x:c r="C62" s="11" t="s">
        <x:v>146</x:v>
      </x:c>
      <x:c r="D62" s="12">
        <x:v>46199.875</x:v>
      </x:c>
      <x:c r="E62" s="11" t="s">
        <x:v>78</x:v>
      </x:c>
      <x:c r="F62" s="12">
        <x:v>46199.625</x:v>
      </x:c>
      <x:c r="G62" s="11" t="s">
        <x:v>79</x:v>
      </x:c>
      <x:c r="H62" s="11" t="s">
        <x:v>150</x:v>
      </x:c>
      <x:c r="I62" s="11" t="s">
        <x:v>147</x:v>
      </x:c>
      <x:c r="J62" s="11" t="s">
        <x:v>109</x:v>
      </x:c>
      <x:c r="K62" s="13"/>
      <x:c r="L62" s="13"/>
      <x:c r="M62" s="14" t="str">
        <x:f t="shared" si="1"/>
      </x:c>
      <x:c r="N62" s="11" t="s">
        <x:v>83</x:v>
      </x:c>
    </x:row>
    <x:row r="63" ht="71.25">
      <x:c r="A63" s="11">
        <x:v>62</x:v>
      </x:c>
      <x:c r="B63" s="11" t="s">
        <x:v>76</x:v>
      </x:c>
      <x:c r="C63" s="11" t="s">
        <x:v>146</x:v>
      </x:c>
      <x:c r="D63" s="12">
        <x:v>46199.875</x:v>
      </x:c>
      <x:c r="E63" s="11" t="s">
        <x:v>78</x:v>
      </x:c>
      <x:c r="F63" s="12">
        <x:v>46199.625</x:v>
      </x:c>
      <x:c r="G63" s="11" t="s">
        <x:v>79</x:v>
      </x:c>
      <x:c r="H63" s="11" t="s">
        <x:v>148</x:v>
      </x:c>
      <x:c r="I63" s="11" t="s">
        <x:v>149</x:v>
      </x:c>
      <x:c r="J63" s="11" t="s">
        <x:v>92</x:v>
      </x:c>
      <x:c r="K63" s="13"/>
      <x:c r="L63" s="13"/>
      <x:c r="M63" s="14" t="str">
        <x:f t="shared" si="1"/>
      </x:c>
      <x:c r="N63" s="11" t="s">
        <x:v>83</x:v>
      </x:c>
    </x:row>
    <x:row r="64" ht="71.25">
      <x:c r="A64" s="11">
        <x:v>63</x:v>
      </x:c>
      <x:c r="B64" s="11" t="s">
        <x:v>76</x:v>
      </x:c>
      <x:c r="C64" s="11" t="s">
        <x:v>132</x:v>
      </x:c>
      <x:c r="D64" s="12">
        <x:v>46200.083333333336</x:v>
      </x:c>
      <x:c r="E64" s="11" t="s">
        <x:v>171</x:v>
      </x:c>
      <x:c r="F64" s="12">
        <x:v>46199.833333333336</x:v>
      </x:c>
      <x:c r="G64" s="11" t="s">
        <x:v>172</x:v>
      </x:c>
      <x:c r="H64" s="11" t="s">
        <x:v>135</x:v>
      </x:c>
      <x:c r="I64" s="11" t="s">
        <x:v>141</x:v>
      </x:c>
      <x:c r="J64" s="11" t="s">
        <x:v>119</x:v>
      </x:c>
      <x:c r="K64" s="13"/>
      <x:c r="L64" s="13"/>
      <x:c r="M64" s="14" t="str">
        <x:f t="shared" si="1"/>
      </x:c>
      <x:c r="N64" s="11" t="s">
        <x:v>83</x:v>
      </x:c>
    </x:row>
    <x:row r="65" ht="71.25">
      <x:c r="A65" s="11">
        <x:v>64</x:v>
      </x:c>
      <x:c r="B65" s="11" t="s">
        <x:v>76</x:v>
      </x:c>
      <x:c r="C65" s="11" t="s">
        <x:v>132</x:v>
      </x:c>
      <x:c r="D65" s="12">
        <x:v>46200.083333333336</x:v>
      </x:c>
      <x:c r="E65" s="11" t="s">
        <x:v>171</x:v>
      </x:c>
      <x:c r="F65" s="12">
        <x:v>46199.833333333336</x:v>
      </x:c>
      <x:c r="G65" s="11" t="s">
        <x:v>172</x:v>
      </x:c>
      <x:c r="H65" s="11" t="s">
        <x:v>142</x:v>
      </x:c>
      <x:c r="I65" s="11" t="s">
        <x:v>134</x:v>
      </x:c>
      <x:c r="J65" s="11" t="s">
        <x:v>88</x:v>
      </x:c>
      <x:c r="K65" s="13"/>
      <x:c r="L65" s="13"/>
      <x:c r="M65" s="14" t="str">
        <x:f t="shared" si="1"/>
      </x:c>
      <x:c r="N65" s="11" t="s">
        <x:v>83</x:v>
      </x:c>
    </x:row>
    <x:row r="66" ht="71.25">
      <x:c r="A66" s="11">
        <x:v>65</x:v>
      </x:c>
      <x:c r="B66" s="11" t="s">
        <x:v>76</x:v>
      </x:c>
      <x:c r="C66" s="11" t="s">
        <x:v>137</x:v>
      </x:c>
      <x:c r="D66" s="12">
        <x:v>46200.208333333336</x:v>
      </x:c>
      <x:c r="E66" s="11" t="s">
        <x:v>169</x:v>
      </x:c>
      <x:c r="F66" s="12">
        <x:v>46199.958333333336</x:v>
      </x:c>
      <x:c r="G66" s="11" t="s">
        <x:v>170</x:v>
      </x:c>
      <x:c r="H66" s="11" t="s">
        <x:v>139</x:v>
      </x:c>
      <x:c r="I66" s="11" t="s">
        <x:v>144</x:v>
      </x:c>
      <x:c r="J66" s="11" t="s">
        <x:v>140</x:v>
      </x:c>
      <x:c r="K66" s="13"/>
      <x:c r="L66" s="13"/>
      <x:c r="M66" s="14" t="str">
        <x:f t="shared" ref="M66:M97" si="2">IF(OR(K66="",L66=""),"",IF(K66&gt;L66,"1",IF(K66=L66,"X","2")))</x:f>
      </x:c>
      <x:c r="N66" s="11" t="s">
        <x:v>83</x:v>
      </x:c>
    </x:row>
    <x:row r="67" ht="71.25">
      <x:c r="A67" s="11">
        <x:v>66</x:v>
      </x:c>
      <x:c r="B67" s="11" t="s">
        <x:v>76</x:v>
      </x:c>
      <x:c r="C67" s="11" t="s">
        <x:v>137</x:v>
      </x:c>
      <x:c r="D67" s="12">
        <x:v>46200.208333333336</x:v>
      </x:c>
      <x:c r="E67" s="11" t="s">
        <x:v>169</x:v>
      </x:c>
      <x:c r="F67" s="12">
        <x:v>46199.958333333336</x:v>
      </x:c>
      <x:c r="G67" s="11" t="s">
        <x:v>170</x:v>
      </x:c>
      <x:c r="H67" s="11" t="s">
        <x:v>145</x:v>
      </x:c>
      <x:c r="I67" s="11" t="s">
        <x:v>138</x:v>
      </x:c>
      <x:c r="J67" s="11" t="s">
        <x:v>113</x:v>
      </x:c>
      <x:c r="K67" s="13"/>
      <x:c r="L67" s="13"/>
      <x:c r="M67" s="14" t="str">
        <x:f t="shared" si="2"/>
      </x:c>
      <x:c r="N67" s="11" t="s">
        <x:v>83</x:v>
      </x:c>
    </x:row>
    <x:row r="68" ht="71.25">
      <x:c r="A68" s="11">
        <x:v>67</x:v>
      </x:c>
      <x:c r="B68" s="11" t="s">
        <x:v>76</x:v>
      </x:c>
      <x:c r="C68" s="11" t="s">
        <x:v>160</x:v>
      </x:c>
      <x:c r="D68" s="12">
        <x:v>46200.958333333336</x:v>
      </x:c>
      <x:c r="E68" s="11" t="s">
        <x:v>170</x:v>
      </x:c>
      <x:c r="F68" s="12">
        <x:v>46200.708333333336</x:v>
      </x:c>
      <x:c r="G68" s="11" t="s">
        <x:v>173</x:v>
      </x:c>
      <x:c r="H68" s="11" t="s">
        <x:v>164</x:v>
      </x:c>
      <x:c r="I68" s="11" t="s">
        <x:v>161</x:v>
      </x:c>
      <x:c r="J68" s="11" t="s">
        <x:v>106</x:v>
      </x:c>
      <x:c r="K68" s="13"/>
      <x:c r="L68" s="13"/>
      <x:c r="M68" s="14" t="str">
        <x:f t="shared" si="2"/>
      </x:c>
      <x:c r="N68" s="11" t="s">
        <x:v>83</x:v>
      </x:c>
    </x:row>
    <x:row r="69" ht="71.25">
      <x:c r="A69" s="11">
        <x:v>68</x:v>
      </x:c>
      <x:c r="B69" s="11" t="s">
        <x:v>76</x:v>
      </x:c>
      <x:c r="C69" s="11" t="s">
        <x:v>160</x:v>
      </x:c>
      <x:c r="D69" s="12">
        <x:v>46200.958333333336</x:v>
      </x:c>
      <x:c r="E69" s="11" t="s">
        <x:v>170</x:v>
      </x:c>
      <x:c r="F69" s="12">
        <x:v>46200.708333333336</x:v>
      </x:c>
      <x:c r="G69" s="11" t="s">
        <x:v>173</x:v>
      </x:c>
      <x:c r="H69" s="11" t="s">
        <x:v>162</x:v>
      </x:c>
      <x:c r="I69" s="11" t="s">
        <x:v>163</x:v>
      </x:c>
      <x:c r="J69" s="11" t="s">
        <x:v>128</x:v>
      </x:c>
      <x:c r="K69" s="13"/>
      <x:c r="L69" s="13"/>
      <x:c r="M69" s="14" t="str">
        <x:f t="shared" si="2"/>
      </x:c>
      <x:c r="N69" s="11" t="s">
        <x:v>83</x:v>
      </x:c>
    </x:row>
    <x:row r="70" ht="71.25">
      <x:c r="A70" s="11">
        <x:v>69</x:v>
      </x:c>
      <x:c r="B70" s="11" t="s">
        <x:v>76</x:v>
      </x:c>
      <x:c r="C70" s="11" t="s">
        <x:v>157</x:v>
      </x:c>
      <x:c r="D70" s="12">
        <x:v>46201.0625</x:v>
      </x:c>
      <x:c r="E70" s="11" t="s">
        <x:v>174</x:v>
      </x:c>
      <x:c r="F70" s="12">
        <x:v>46200.8125</x:v>
      </x:c>
      <x:c r="G70" s="11" t="s">
        <x:v>175</x:v>
      </x:c>
      <x:c r="H70" s="11" t="s">
        <x:v>166</x:v>
      </x:c>
      <x:c r="I70" s="11" t="s">
        <x:v>158</x:v>
      </x:c>
      <x:c r="J70" s="11" t="s">
        <x:v>143</x:v>
      </x:c>
      <x:c r="K70" s="13"/>
      <x:c r="L70" s="13"/>
      <x:c r="M70" s="14" t="str">
        <x:f t="shared" si="2"/>
      </x:c>
      <x:c r="N70" s="11" t="s">
        <x:v>83</x:v>
      </x:c>
    </x:row>
    <x:row r="71" ht="71.25">
      <x:c r="A71" s="11">
        <x:v>70</x:v>
      </x:c>
      <x:c r="B71" s="11" t="s">
        <x:v>76</x:v>
      </x:c>
      <x:c r="C71" s="11" t="s">
        <x:v>157</x:v>
      </x:c>
      <x:c r="D71" s="12">
        <x:v>46201.0625</x:v>
      </x:c>
      <x:c r="E71" s="11" t="s">
        <x:v>174</x:v>
      </x:c>
      <x:c r="F71" s="12">
        <x:v>46200.8125</x:v>
      </x:c>
      <x:c r="G71" s="11" t="s">
        <x:v>175</x:v>
      </x:c>
      <x:c r="H71" s="11" t="s">
        <x:v>159</x:v>
      </x:c>
      <x:c r="I71" s="11" t="s">
        <x:v>165</x:v>
      </x:c>
      <x:c r="J71" s="11" t="s">
        <x:v>136</x:v>
      </x:c>
      <x:c r="K71" s="13"/>
      <x:c r="L71" s="13"/>
      <x:c r="M71" s="14" t="str">
        <x:f t="shared" si="2"/>
      </x:c>
      <x:c r="N71" s="11" t="s">
        <x:v>83</x:v>
      </x:c>
    </x:row>
    <x:row r="72" ht="71.25">
      <x:c r="A72" s="11">
        <x:v>71</x:v>
      </x:c>
      <x:c r="B72" s="11" t="s">
        <x:v>76</x:v>
      </x:c>
      <x:c r="C72" s="11" t="s">
        <x:v>151</x:v>
      </x:c>
      <x:c r="D72" s="12">
        <x:v>46201.166666666664</x:v>
      </x:c>
      <x:c r="E72" s="11" t="s">
        <x:v>84</x:v>
      </x:c>
      <x:c r="F72" s="12">
        <x:v>46200.916666666664</x:v>
      </x:c>
      <x:c r="G72" s="11" t="s">
        <x:v>85</x:v>
      </x:c>
      <x:c r="H72" s="11" t="s">
        <x:v>153</x:v>
      </x:c>
      <x:c r="I72" s="11" t="s">
        <x:v>155</x:v>
      </x:c>
      <x:c r="J72" s="11" t="s">
        <x:v>154</x:v>
      </x:c>
      <x:c r="K72" s="13"/>
      <x:c r="L72" s="13"/>
      <x:c r="M72" s="14" t="str">
        <x:f t="shared" si="2"/>
      </x:c>
      <x:c r="N72" s="11" t="s">
        <x:v>83</x:v>
      </x:c>
    </x:row>
    <x:row r="73" ht="71.25">
      <x:c r="A73" s="11">
        <x:v>72</x:v>
      </x:c>
      <x:c r="B73" s="11" t="s">
        <x:v>76</x:v>
      </x:c>
      <x:c r="C73" s="11" t="s">
        <x:v>151</x:v>
      </x:c>
      <x:c r="D73" s="12">
        <x:v>46201.166666666664</x:v>
      </x:c>
      <x:c r="E73" s="11" t="s">
        <x:v>84</x:v>
      </x:c>
      <x:c r="F73" s="12">
        <x:v>46200.916666666664</x:v>
      </x:c>
      <x:c r="G73" s="11" t="s">
        <x:v>85</x:v>
      </x:c>
      <x:c r="H73" s="11" t="s">
        <x:v>156</x:v>
      </x:c>
      <x:c r="I73" s="11" t="s">
        <x:v>152</x:v>
      </x:c>
      <x:c r="J73" s="11" t="s">
        <x:v>124</x:v>
      </x:c>
      <x:c r="K73" s="13"/>
      <x:c r="L73" s="13"/>
      <x:c r="M73" s="14" t="str">
        <x:f t="shared" si="2"/>
      </x:c>
      <x:c r="N73" s="11" t="s">
        <x:v>83</x:v>
      </x:c>
    </x:row>
    <x:row r="74" ht="71.25">
      <x:c r="A74" s="11">
        <x:v>73</x:v>
      </x:c>
      <x:c r="B74" s="11" t="s">
        <x:v>176</x:v>
      </x:c>
      <x:c r="C74" s="11"/>
      <x:c r="D74" s="12">
        <x:v>46201.875</x:v>
      </x:c>
      <x:c r="E74" s="11" t="s">
        <x:v>78</x:v>
      </x:c>
      <x:c r="F74" s="12">
        <x:v>46201.625</x:v>
      </x:c>
      <x:c r="G74" s="11" t="s">
        <x:v>79</x:v>
      </x:c>
      <x:c r="H74" s="11" t="s">
        <x:v>177</x:v>
      </x:c>
      <x:c r="I74" s="11" t="s">
        <x:v>178</x:v>
      </x:c>
      <x:c r="J74" s="11" t="s">
        <x:v>97</x:v>
      </x:c>
      <x:c r="K74" s="13"/>
      <x:c r="L74" s="13"/>
      <x:c r="M74" s="14" t="str">
        <x:f t="shared" si="2"/>
      </x:c>
      <x:c r="N74" s="11" t="s">
        <x:v>83</x:v>
      </x:c>
    </x:row>
    <x:row r="75" ht="71.25">
      <x:c r="A75" s="11">
        <x:v>74</x:v>
      </x:c>
      <x:c r="B75" s="11" t="s">
        <x:v>176</x:v>
      </x:c>
      <x:c r="C75" s="11"/>
      <x:c r="D75" s="12">
        <x:v>46202.791666666664</x:v>
      </x:c>
      <x:c r="E75" s="11" t="s">
        <x:v>115</x:v>
      </x:c>
      <x:c r="F75" s="12">
        <x:v>46202.541666666664</x:v>
      </x:c>
      <x:c r="G75" s="11" t="s">
        <x:v>116</x:v>
      </x:c>
      <x:c r="H75" s="11" t="s">
        <x:v>179</x:v>
      </x:c>
      <x:c r="I75" s="11" t="s">
        <x:v>180</x:v>
      </x:c>
      <x:c r="J75" s="11" t="s">
        <x:v>119</x:v>
      </x:c>
      <x:c r="K75" s="13"/>
      <x:c r="L75" s="13"/>
      <x:c r="M75" s="14" t="str">
        <x:f t="shared" si="2"/>
      </x:c>
      <x:c r="N75" s="11" t="s">
        <x:v>83</x:v>
      </x:c>
    </x:row>
    <x:row r="76" ht="71.25">
      <x:c r="A76" s="11">
        <x:v>75</x:v>
      </x:c>
      <x:c r="B76" s="11" t="s">
        <x:v>176</x:v>
      </x:c>
      <x:c r="C76" s="11"/>
      <x:c r="D76" s="12">
        <x:v>46202.9375</x:v>
      </x:c>
      <x:c r="E76" s="11" t="s">
        <x:v>181</x:v>
      </x:c>
      <x:c r="F76" s="12">
        <x:v>46202.6875</x:v>
      </x:c>
      <x:c r="G76" s="11" t="s">
        <x:v>182</x:v>
      </x:c>
      <x:c r="H76" s="11" t="s">
        <x:v>183</x:v>
      </x:c>
      <x:c r="I76" s="11" t="s">
        <x:v>184</x:v>
      </x:c>
      <x:c r="J76" s="11" t="s">
        <x:v>109</x:v>
      </x:c>
      <x:c r="K76" s="13"/>
      <x:c r="L76" s="13"/>
      <x:c r="M76" s="14" t="str">
        <x:f t="shared" si="2"/>
      </x:c>
      <x:c r="N76" s="11" t="s">
        <x:v>83</x:v>
      </x:c>
    </x:row>
    <x:row r="77" ht="71.25">
      <x:c r="A77" s="11">
        <x:v>76</x:v>
      </x:c>
      <x:c r="B77" s="11" t="s">
        <x:v>176</x:v>
      </x:c>
      <x:c r="C77" s="11"/>
      <x:c r="D77" s="12">
        <x:v>46203.125</x:v>
      </x:c>
      <x:c r="E77" s="11" t="s">
        <x:v>94</x:v>
      </x:c>
      <x:c r="F77" s="12">
        <x:v>46202.875</x:v>
      </x:c>
      <x:c r="G77" s="11" t="s">
        <x:v>78</x:v>
      </x:c>
      <x:c r="H77" s="11" t="s">
        <x:v>185</x:v>
      </x:c>
      <x:c r="I77" s="11" t="s">
        <x:v>186</x:v>
      </x:c>
      <x:c r="J77" s="11" t="s">
        <x:v>131</x:v>
      </x:c>
      <x:c r="K77" s="13"/>
      <x:c r="L77" s="13"/>
      <x:c r="M77" s="14" t="str">
        <x:f t="shared" si="2"/>
      </x:c>
      <x:c r="N77" s="11" t="s">
        <x:v>83</x:v>
      </x:c>
    </x:row>
    <x:row r="78" ht="71.25">
      <x:c r="A78" s="11">
        <x:v>77</x:v>
      </x:c>
      <x:c r="B78" s="11" t="s">
        <x:v>176</x:v>
      </x:c>
      <x:c r="C78" s="11"/>
      <x:c r="D78" s="12">
        <x:v>46203.791666666664</x:v>
      </x:c>
      <x:c r="E78" s="11" t="s">
        <x:v>115</x:v>
      </x:c>
      <x:c r="F78" s="12">
        <x:v>46203.541666666664</x:v>
      </x:c>
      <x:c r="G78" s="11" t="s">
        <x:v>116</x:v>
      </x:c>
      <x:c r="H78" s="11" t="s">
        <x:v>187</x:v>
      </x:c>
      <x:c r="I78" s="11" t="s">
        <x:v>188</x:v>
      </x:c>
      <x:c r="J78" s="11" t="s">
        <x:v>124</x:v>
      </x:c>
      <x:c r="K78" s="13"/>
      <x:c r="L78" s="13"/>
      <x:c r="M78" s="14" t="str">
        <x:f t="shared" si="2"/>
      </x:c>
      <x:c r="N78" s="11" t="s">
        <x:v>83</x:v>
      </x:c>
    </x:row>
    <x:row r="79" ht="71.25">
      <x:c r="A79" s="11">
        <x:v>78</x:v>
      </x:c>
      <x:c r="B79" s="11" t="s">
        <x:v>176</x:v>
      </x:c>
      <x:c r="C79" s="11"/>
      <x:c r="D79" s="12">
        <x:v>46203.958333333336</x:v>
      </x:c>
      <x:c r="E79" s="11" t="s">
        <x:v>170</x:v>
      </x:c>
      <x:c r="F79" s="12">
        <x:v>46203.708333333336</x:v>
      </x:c>
      <x:c r="G79" s="11" t="s">
        <x:v>173</x:v>
      </x:c>
      <x:c r="H79" s="11" t="s">
        <x:v>189</x:v>
      </x:c>
      <x:c r="I79" s="11" t="s">
        <x:v>190</x:v>
      </x:c>
      <x:c r="J79" s="11" t="s">
        <x:v>106</x:v>
      </x:c>
      <x:c r="K79" s="13"/>
      <x:c r="L79" s="13"/>
      <x:c r="M79" s="14" t="str">
        <x:f t="shared" si="2"/>
      </x:c>
      <x:c r="N79" s="11" t="s">
        <x:v>83</x:v>
      </x:c>
    </x:row>
    <x:row r="80" ht="71.25">
      <x:c r="A80" s="11">
        <x:v>79</x:v>
      </x:c>
      <x:c r="B80" s="11" t="s">
        <x:v>176</x:v>
      </x:c>
      <x:c r="C80" s="11"/>
      <x:c r="D80" s="12">
        <x:v>46204.125</x:v>
      </x:c>
      <x:c r="E80" s="11" t="s">
        <x:v>94</x:v>
      </x:c>
      <x:c r="F80" s="12">
        <x:v>46203.875</x:v>
      </x:c>
      <x:c r="G80" s="11" t="s">
        <x:v>78</x:v>
      </x:c>
      <x:c r="H80" s="11" t="s">
        <x:v>191</x:v>
      </x:c>
      <x:c r="I80" s="11" t="s">
        <x:v>192</x:v>
      </x:c>
      <x:c r="J80" s="11" t="s">
        <x:v>82</x:v>
      </x:c>
      <x:c r="K80" s="13"/>
      <x:c r="L80" s="13"/>
      <x:c r="M80" s="14" t="str">
        <x:f t="shared" si="2"/>
      </x:c>
      <x:c r="N80" s="11" t="s">
        <x:v>83</x:v>
      </x:c>
    </x:row>
    <x:row r="81" ht="71.25">
      <x:c r="A81" s="11">
        <x:v>80</x:v>
      </x:c>
      <x:c r="B81" s="11" t="s">
        <x:v>176</x:v>
      </x:c>
      <x:c r="C81" s="11"/>
      <x:c r="D81" s="12">
        <x:v>46204.75</x:v>
      </x:c>
      <x:c r="E81" s="11" t="s">
        <x:v>103</x:v>
      </x:c>
      <x:c r="F81" s="12">
        <x:v>46204.5</x:v>
      </x:c>
      <x:c r="G81" s="11" t="s">
        <x:v>133</x:v>
      </x:c>
      <x:c r="H81" s="11" t="s">
        <x:v>193</x:v>
      </x:c>
      <x:c r="I81" s="11" t="s">
        <x:v>194</x:v>
      </x:c>
      <x:c r="J81" s="11" t="s">
        <x:v>136</x:v>
      </x:c>
      <x:c r="K81" s="13"/>
      <x:c r="L81" s="13"/>
      <x:c r="M81" s="14" t="str">
        <x:f t="shared" si="2"/>
      </x:c>
      <x:c r="N81" s="11" t="s">
        <x:v>83</x:v>
      </x:c>
    </x:row>
    <x:row r="82" ht="71.25">
      <x:c r="A82" s="11">
        <x:v>81</x:v>
      </x:c>
      <x:c r="B82" s="11" t="s">
        <x:v>176</x:v>
      </x:c>
      <x:c r="C82" s="11"/>
      <x:c r="D82" s="12">
        <x:v>46204.916666666664</x:v>
      </x:c>
      <x:c r="E82" s="11" t="s">
        <x:v>85</x:v>
      </x:c>
      <x:c r="F82" s="12">
        <x:v>46204.666666666664</x:v>
      </x:c>
      <x:c r="G82" s="11" t="s">
        <x:v>121</x:v>
      </x:c>
      <x:c r="H82" s="11" t="s">
        <x:v>195</x:v>
      </x:c>
      <x:c r="I82" s="11" t="s">
        <x:v>196</x:v>
      </x:c>
      <x:c r="J82" s="11" t="s">
        <x:v>140</x:v>
      </x:c>
      <x:c r="K82" s="13"/>
      <x:c r="L82" s="13"/>
      <x:c r="M82" s="14" t="str">
        <x:f t="shared" si="2"/>
      </x:c>
      <x:c r="N82" s="11" t="s">
        <x:v>83</x:v>
      </x:c>
    </x:row>
    <x:row r="83" ht="71.25">
      <x:c r="A83" s="11">
        <x:v>82</x:v>
      </x:c>
      <x:c r="B83" s="11" t="s">
        <x:v>176</x:v>
      </x:c>
      <x:c r="C83" s="11"/>
      <x:c r="D83" s="12">
        <x:v>46205.083333333336</x:v>
      </x:c>
      <x:c r="E83" s="11" t="s">
        <x:v>171</x:v>
      </x:c>
      <x:c r="F83" s="12">
        <x:v>46204.833333333336</x:v>
      </x:c>
      <x:c r="G83" s="11" t="s">
        <x:v>172</x:v>
      </x:c>
      <x:c r="H83" s="11" t="s">
        <x:v>197</x:v>
      </x:c>
      <x:c r="I83" s="11" t="s">
        <x:v>198</x:v>
      </x:c>
      <x:c r="J83" s="11" t="s">
        <x:v>100</x:v>
      </x:c>
      <x:c r="K83" s="13"/>
      <x:c r="L83" s="13"/>
      <x:c r="M83" s="14" t="str">
        <x:f t="shared" si="2"/>
      </x:c>
      <x:c r="N83" s="11" t="s">
        <x:v>83</x:v>
      </x:c>
    </x:row>
    <x:row r="84" ht="71.25">
      <x:c r="A84" s="11">
        <x:v>83</x:v>
      </x:c>
      <x:c r="B84" s="11" t="s">
        <x:v>176</x:v>
      </x:c>
      <x:c r="C84" s="11"/>
      <x:c r="D84" s="12">
        <x:v>46205.875</x:v>
      </x:c>
      <x:c r="E84" s="11" t="s">
        <x:v>78</x:v>
      </x:c>
      <x:c r="F84" s="12">
        <x:v>46205.625</x:v>
      </x:c>
      <x:c r="G84" s="11" t="s">
        <x:v>79</x:v>
      </x:c>
      <x:c r="H84" s="11" t="s">
        <x:v>199</x:v>
      </x:c>
      <x:c r="I84" s="11" t="s">
        <x:v>200</x:v>
      </x:c>
      <x:c r="J84" s="11" t="s">
        <x:v>97</x:v>
      </x:c>
      <x:c r="K84" s="13"/>
      <x:c r="L84" s="13"/>
      <x:c r="M84" s="14" t="str">
        <x:f t="shared" si="2"/>
      </x:c>
      <x:c r="N84" s="11" t="s">
        <x:v>83</x:v>
      </x:c>
    </x:row>
    <x:row r="85" ht="71.25">
      <x:c r="A85" s="11">
        <x:v>84</x:v>
      </x:c>
      <x:c r="B85" s="11" t="s">
        <x:v>176</x:v>
      </x:c>
      <x:c r="C85" s="11"/>
      <x:c r="D85" s="12">
        <x:v>46206.041666666664</x:v>
      </x:c>
      <x:c r="E85" s="11" t="s">
        <x:v>125</x:v>
      </x:c>
      <x:c r="F85" s="12">
        <x:v>46205.791666666664</x:v>
      </x:c>
      <x:c r="G85" s="11" t="s">
        <x:v>115</x:v>
      </x:c>
      <x:c r="H85" s="11" t="s">
        <x:v>201</x:v>
      </x:c>
      <x:c r="I85" s="11" t="s">
        <x:v>202</x:v>
      </x:c>
      <x:c r="J85" s="11" t="s">
        <x:v>92</x:v>
      </x:c>
      <x:c r="K85" s="13"/>
      <x:c r="L85" s="13"/>
      <x:c r="M85" s="14" t="str">
        <x:f t="shared" si="2"/>
      </x:c>
      <x:c r="N85" s="11" t="s">
        <x:v>83</x:v>
      </x:c>
    </x:row>
    <x:row r="86" ht="71.25">
      <x:c r="A86" s="11">
        <x:v>85</x:v>
      </x:c>
      <x:c r="B86" s="11" t="s">
        <x:v>176</x:v>
      </x:c>
      <x:c r="C86" s="11"/>
      <x:c r="D86" s="12">
        <x:v>46206.208333333336</x:v>
      </x:c>
      <x:c r="E86" s="11" t="s">
        <x:v>169</x:v>
      </x:c>
      <x:c r="F86" s="12">
        <x:v>46205.958333333336</x:v>
      </x:c>
      <x:c r="G86" s="11" t="s">
        <x:v>170</x:v>
      </x:c>
      <x:c r="H86" s="11" t="s">
        <x:v>203</x:v>
      </x:c>
      <x:c r="I86" s="11" t="s">
        <x:v>204</x:v>
      </x:c>
      <x:c r="J86" s="11" t="s">
        <x:v>113</x:v>
      </x:c>
      <x:c r="K86" s="13"/>
      <x:c r="L86" s="13"/>
      <x:c r="M86" s="14" t="str">
        <x:f t="shared" si="2"/>
      </x:c>
      <x:c r="N86" s="11" t="s">
        <x:v>83</x:v>
      </x:c>
    </x:row>
    <x:row r="87" ht="71.25">
      <x:c r="A87" s="11">
        <x:v>86</x:v>
      </x:c>
      <x:c r="B87" s="11" t="s">
        <x:v>176</x:v>
      </x:c>
      <x:c r="C87" s="11"/>
      <x:c r="D87" s="12">
        <x:v>46206.833333333336</x:v>
      </x:c>
      <x:c r="E87" s="11" t="s">
        <x:v>172</x:v>
      </x:c>
      <x:c r="F87" s="12">
        <x:v>46206.583333333336</x:v>
      </x:c>
      <x:c r="G87" s="11" t="s">
        <x:v>205</x:v>
      </x:c>
      <x:c r="H87" s="11" t="s">
        <x:v>206</x:v>
      </x:c>
      <x:c r="I87" s="11" t="s">
        <x:v>207</x:v>
      </x:c>
      <x:c r="J87" s="11" t="s">
        <x:v>124</x:v>
      </x:c>
      <x:c r="K87" s="13"/>
      <x:c r="L87" s="13"/>
      <x:c r="M87" s="14" t="str">
        <x:f t="shared" si="2"/>
      </x:c>
      <x:c r="N87" s="11" t="s">
        <x:v>83</x:v>
      </x:c>
    </x:row>
    <x:row r="88" ht="71.25">
      <x:c r="A88" s="11">
        <x:v>87</x:v>
      </x:c>
      <x:c r="B88" s="11" t="s">
        <x:v>176</x:v>
      </x:c>
      <x:c r="C88" s="11"/>
      <x:c r="D88" s="12">
        <x:v>46207</x:v>
      </x:c>
      <x:c r="E88" s="11" t="s">
        <x:v>102</x:v>
      </x:c>
      <x:c r="F88" s="12">
        <x:v>46206.75</x:v>
      </x:c>
      <x:c r="G88" s="11" t="s">
        <x:v>103</x:v>
      </x:c>
      <x:c r="H88" s="11" t="s">
        <x:v>208</x:v>
      </x:c>
      <x:c r="I88" s="11" t="s">
        <x:v>209</x:v>
      </x:c>
      <x:c r="J88" s="11" t="s">
        <x:v>143</x:v>
      </x:c>
      <x:c r="K88" s="13"/>
      <x:c r="L88" s="13"/>
      <x:c r="M88" s="14" t="str">
        <x:f t="shared" si="2"/>
      </x:c>
      <x:c r="N88" s="11" t="s">
        <x:v>83</x:v>
      </x:c>
    </x:row>
    <x:row r="89" ht="71.25">
      <x:c r="A89" s="11">
        <x:v>88</x:v>
      </x:c>
      <x:c r="B89" s="11" t="s">
        <x:v>176</x:v>
      </x:c>
      <x:c r="C89" s="11"/>
      <x:c r="D89" s="12">
        <x:v>46207.145833333336</x:v>
      </x:c>
      <x:c r="E89" s="11" t="s">
        <x:v>210</x:v>
      </x:c>
      <x:c r="F89" s="12">
        <x:v>46206.895833333336</x:v>
      </x:c>
      <x:c r="G89" s="11" t="s">
        <x:v>211</x:v>
      </x:c>
      <x:c r="H89" s="11" t="s">
        <x:v>212</x:v>
      </x:c>
      <x:c r="I89" s="11" t="s">
        <x:v>213</x:v>
      </x:c>
      <x:c r="J89" s="11" t="s">
        <x:v>154</x:v>
      </x:c>
      <x:c r="K89" s="13"/>
      <x:c r="L89" s="13"/>
      <x:c r="M89" s="14" t="str">
        <x:f t="shared" si="2"/>
      </x:c>
      <x:c r="N89" s="11" t="s">
        <x:v>83</x:v>
      </x:c>
    </x:row>
    <x:row r="90" ht="71.25">
      <x:c r="A90" s="11">
        <x:v>89</x:v>
      </x:c>
      <x:c r="B90" s="11" t="s">
        <x:v>214</x:v>
      </x:c>
      <x:c r="C90" s="11"/>
      <x:c r="D90" s="12">
        <x:v>46207.791666666664</x:v>
      </x:c>
      <x:c r="E90" s="11" t="s">
        <x:v>115</x:v>
      </x:c>
      <x:c r="F90" s="12">
        <x:v>46207.541666666664</x:v>
      </x:c>
      <x:c r="G90" s="11" t="s">
        <x:v>116</x:v>
      </x:c>
      <x:c r="H90" s="11" t="s">
        <x:v>215</x:v>
      </x:c>
      <x:c r="I90" s="11" t="s">
        <x:v>216</x:v>
      </x:c>
      <x:c r="J90" s="11" t="s">
        <x:v>119</x:v>
      </x:c>
      <x:c r="K90" s="13"/>
      <x:c r="L90" s="13"/>
      <x:c r="M90" s="14" t="str">
        <x:f t="shared" si="2"/>
      </x:c>
      <x:c r="N90" s="11" t="s">
        <x:v>83</x:v>
      </x:c>
    </x:row>
    <x:row r="91" ht="71.25">
      <x:c r="A91" s="11">
        <x:v>90</x:v>
      </x:c>
      <x:c r="B91" s="11" t="s">
        <x:v>214</x:v>
      </x:c>
      <x:c r="C91" s="11"/>
      <x:c r="D91" s="12">
        <x:v>46207.958333333336</x:v>
      </x:c>
      <x:c r="E91" s="11" t="s">
        <x:v>170</x:v>
      </x:c>
      <x:c r="F91" s="12">
        <x:v>46207.708333333336</x:v>
      </x:c>
      <x:c r="G91" s="11" t="s">
        <x:v>173</x:v>
      </x:c>
      <x:c r="H91" s="11" t="s">
        <x:v>217</x:v>
      </x:c>
      <x:c r="I91" s="11" t="s">
        <x:v>218</x:v>
      </x:c>
      <x:c r="J91" s="11" t="s">
        <x:v>128</x:v>
      </x:c>
      <x:c r="K91" s="13"/>
      <x:c r="L91" s="13"/>
      <x:c r="M91" s="14" t="str">
        <x:f t="shared" si="2"/>
      </x:c>
      <x:c r="N91" s="11" t="s">
        <x:v>83</x:v>
      </x:c>
    </x:row>
    <x:row r="92" ht="71.25">
      <x:c r="A92" s="11">
        <x:v>91</x:v>
      </x:c>
      <x:c r="B92" s="11" t="s">
        <x:v>214</x:v>
      </x:c>
      <x:c r="C92" s="11"/>
      <x:c r="D92" s="12">
        <x:v>46208.916666666664</x:v>
      </x:c>
      <x:c r="E92" s="11" t="s">
        <x:v>85</x:v>
      </x:c>
      <x:c r="F92" s="12">
        <x:v>46208.666666666664</x:v>
      </x:c>
      <x:c r="G92" s="11" t="s">
        <x:v>121</x:v>
      </x:c>
      <x:c r="H92" s="11" t="s">
        <x:v>219</x:v>
      </x:c>
      <x:c r="I92" s="11" t="s">
        <x:v>220</x:v>
      </x:c>
      <x:c r="J92" s="11" t="s">
        <x:v>106</x:v>
      </x:c>
      <x:c r="K92" s="13"/>
      <x:c r="L92" s="13"/>
      <x:c r="M92" s="14" t="str">
        <x:f t="shared" si="2"/>
      </x:c>
      <x:c r="N92" s="11" t="s">
        <x:v>83</x:v>
      </x:c>
    </x:row>
    <x:row r="93" ht="71.25">
      <x:c r="A93" s="11">
        <x:v>92</x:v>
      </x:c>
      <x:c r="B93" s="11" t="s">
        <x:v>214</x:v>
      </x:c>
      <x:c r="C93" s="11"/>
      <x:c r="D93" s="12">
        <x:v>46209.083333333336</x:v>
      </x:c>
      <x:c r="E93" s="11" t="s">
        <x:v>171</x:v>
      </x:c>
      <x:c r="F93" s="12">
        <x:v>46208.833333333336</x:v>
      </x:c>
      <x:c r="G93" s="11" t="s">
        <x:v>172</x:v>
      </x:c>
      <x:c r="H93" s="11" t="s">
        <x:v>221</x:v>
      </x:c>
      <x:c r="I93" s="11" t="s">
        <x:v>222</x:v>
      </x:c>
      <x:c r="J93" s="11" t="s">
        <x:v>82</x:v>
      </x:c>
      <x:c r="K93" s="13"/>
      <x:c r="L93" s="13"/>
      <x:c r="M93" s="14" t="str">
        <x:f t="shared" si="2"/>
      </x:c>
      <x:c r="N93" s="11" t="s">
        <x:v>83</x:v>
      </x:c>
    </x:row>
    <x:row r="94" ht="71.25">
      <x:c r="A94" s="11">
        <x:v>93</x:v>
      </x:c>
      <x:c r="B94" s="11" t="s">
        <x:v>214</x:v>
      </x:c>
      <x:c r="C94" s="11"/>
      <x:c r="D94" s="12">
        <x:v>46209.875</x:v>
      </x:c>
      <x:c r="E94" s="11" t="s">
        <x:v>78</x:v>
      </x:c>
      <x:c r="F94" s="12">
        <x:v>46209.625</x:v>
      </x:c>
      <x:c r="G94" s="11" t="s">
        <x:v>79</x:v>
      </x:c>
      <x:c r="H94" s="11" t="s">
        <x:v>223</x:v>
      </x:c>
      <x:c r="I94" s="11" t="s">
        <x:v>224</x:v>
      </x:c>
      <x:c r="J94" s="11" t="s">
        <x:v>124</x:v>
      </x:c>
      <x:c r="K94" s="13"/>
      <x:c r="L94" s="13"/>
      <x:c r="M94" s="14" t="str">
        <x:f t="shared" si="2"/>
      </x:c>
      <x:c r="N94" s="11" t="s">
        <x:v>83</x:v>
      </x:c>
    </x:row>
    <x:row r="95" ht="71.25">
      <x:c r="A95" s="11">
        <x:v>94</x:v>
      </x:c>
      <x:c r="B95" s="11" t="s">
        <x:v>214</x:v>
      </x:c>
      <x:c r="C95" s="11"/>
      <x:c r="D95" s="12">
        <x:v>46210.083333333336</x:v>
      </x:c>
      <x:c r="E95" s="11" t="s">
        <x:v>171</x:v>
      </x:c>
      <x:c r="F95" s="12">
        <x:v>46209.833333333336</x:v>
      </x:c>
      <x:c r="G95" s="11" t="s">
        <x:v>172</x:v>
      </x:c>
      <x:c r="H95" s="11" t="s">
        <x:v>225</x:v>
      </x:c>
      <x:c r="I95" s="11" t="s">
        <x:v>226</x:v>
      </x:c>
      <x:c r="J95" s="11" t="s">
        <x:v>140</x:v>
      </x:c>
      <x:c r="K95" s="13"/>
      <x:c r="L95" s="13"/>
      <x:c r="M95" s="14" t="str">
        <x:f t="shared" si="2"/>
      </x:c>
      <x:c r="N95" s="11" t="s">
        <x:v>83</x:v>
      </x:c>
    </x:row>
    <x:row r="96" ht="71.25">
      <x:c r="A96" s="11">
        <x:v>95</x:v>
      </x:c>
      <x:c r="B96" s="11" t="s">
        <x:v>214</x:v>
      </x:c>
      <x:c r="C96" s="11"/>
      <x:c r="D96" s="12">
        <x:v>46210.75</x:v>
      </x:c>
      <x:c r="E96" s="11" t="s">
        <x:v>103</x:v>
      </x:c>
      <x:c r="F96" s="12">
        <x:v>46210.5</x:v>
      </x:c>
      <x:c r="G96" s="11" t="s">
        <x:v>133</x:v>
      </x:c>
      <x:c r="H96" s="11" t="s">
        <x:v>227</x:v>
      </x:c>
      <x:c r="I96" s="11" t="s">
        <x:v>228</x:v>
      </x:c>
      <x:c r="J96" s="11" t="s">
        <x:v>136</x:v>
      </x:c>
      <x:c r="K96" s="13"/>
      <x:c r="L96" s="13"/>
      <x:c r="M96" s="14" t="str">
        <x:f t="shared" si="2"/>
      </x:c>
      <x:c r="N96" s="11" t="s">
        <x:v>83</x:v>
      </x:c>
    </x:row>
    <x:row r="97" ht="71.25">
      <x:c r="A97" s="11">
        <x:v>96</x:v>
      </x:c>
      <x:c r="B97" s="11" t="s">
        <x:v>214</x:v>
      </x:c>
      <x:c r="C97" s="11"/>
      <x:c r="D97" s="12">
        <x:v>46210.916666666664</x:v>
      </x:c>
      <x:c r="E97" s="11" t="s">
        <x:v>85</x:v>
      </x:c>
      <x:c r="F97" s="12">
        <x:v>46210.666666666664</x:v>
      </x:c>
      <x:c r="G97" s="11" t="s">
        <x:v>121</x:v>
      </x:c>
      <x:c r="H97" s="11" t="s">
        <x:v>229</x:v>
      </x:c>
      <x:c r="I97" s="11" t="s">
        <x:v>230</x:v>
      </x:c>
      <x:c r="J97" s="11" t="s">
        <x:v>113</x:v>
      </x:c>
      <x:c r="K97" s="13"/>
      <x:c r="L97" s="13"/>
      <x:c r="M97" s="14" t="str">
        <x:f t="shared" si="2"/>
      </x:c>
      <x:c r="N97" s="11" t="s">
        <x:v>83</x:v>
      </x:c>
    </x:row>
    <x:row r="98" ht="71.25">
      <x:c r="A98" s="11">
        <x:v>97</x:v>
      </x:c>
      <x:c r="B98" s="11" t="s">
        <x:v>231</x:v>
      </x:c>
      <x:c r="C98" s="11"/>
      <x:c r="D98" s="12">
        <x:v>46212.916666666664</x:v>
      </x:c>
      <x:c r="E98" s="11" t="s">
        <x:v>85</x:v>
      </x:c>
      <x:c r="F98" s="12">
        <x:v>46212.666666666664</x:v>
      </x:c>
      <x:c r="G98" s="11" t="s">
        <x:v>121</x:v>
      </x:c>
      <x:c r="H98" s="11" t="s">
        <x:v>232</x:v>
      </x:c>
      <x:c r="I98" s="11" t="s">
        <x:v>233</x:v>
      </x:c>
      <x:c r="J98" s="11" t="s">
        <x:v>109</x:v>
      </x:c>
      <x:c r="K98" s="13"/>
      <x:c r="L98" s="13"/>
      <x:c r="M98" s="14" t="str">
        <x:f t="shared" ref="M98:M105" si="3">IF(OR(K98="",L98=""),"",IF(K98&gt;L98,"1",IF(K98=L98,"X","2")))</x:f>
      </x:c>
      <x:c r="N98" s="11" t="s">
        <x:v>83</x:v>
      </x:c>
    </x:row>
    <x:row r="99" ht="71.25">
      <x:c r="A99" s="11">
        <x:v>98</x:v>
      </x:c>
      <x:c r="B99" s="11" t="s">
        <x:v>231</x:v>
      </x:c>
      <x:c r="C99" s="11"/>
      <x:c r="D99" s="12">
        <x:v>46213.875</x:v>
      </x:c>
      <x:c r="E99" s="11" t="s">
        <x:v>78</x:v>
      </x:c>
      <x:c r="F99" s="12">
        <x:v>46213.625</x:v>
      </x:c>
      <x:c r="G99" s="11" t="s">
        <x:v>79</x:v>
      </x:c>
      <x:c r="H99" s="11" t="s">
        <x:v>234</x:v>
      </x:c>
      <x:c r="I99" s="11" t="s">
        <x:v>235</x:v>
      </x:c>
      <x:c r="J99" s="11" t="s">
        <x:v>97</x:v>
      </x:c>
      <x:c r="K99" s="13"/>
      <x:c r="L99" s="13"/>
      <x:c r="M99" s="14" t="str">
        <x:f t="shared" si="3"/>
      </x:c>
      <x:c r="N99" s="11" t="s">
        <x:v>83</x:v>
      </x:c>
    </x:row>
    <x:row r="100" ht="71.25">
      <x:c r="A100" s="11">
        <x:v>99</x:v>
      </x:c>
      <x:c r="B100" s="11" t="s">
        <x:v>231</x:v>
      </x:c>
      <x:c r="C100" s="11"/>
      <x:c r="D100" s="12">
        <x:v>46214.958333333336</x:v>
      </x:c>
      <x:c r="E100" s="11" t="s">
        <x:v>170</x:v>
      </x:c>
      <x:c r="F100" s="12">
        <x:v>46214.708333333336</x:v>
      </x:c>
      <x:c r="G100" s="11" t="s">
        <x:v>173</x:v>
      </x:c>
      <x:c r="H100" s="11" t="s">
        <x:v>236</x:v>
      </x:c>
      <x:c r="I100" s="11" t="s">
        <x:v>237</x:v>
      </x:c>
      <x:c r="J100" s="11" t="s">
        <x:v>143</x:v>
      </x:c>
      <x:c r="K100" s="13"/>
      <x:c r="L100" s="13"/>
      <x:c r="M100" s="14" t="str">
        <x:f t="shared" si="3"/>
      </x:c>
      <x:c r="N100" s="11" t="s">
        <x:v>83</x:v>
      </x:c>
    </x:row>
    <x:row r="101" ht="71.25">
      <x:c r="A101" s="11">
        <x:v>100</x:v>
      </x:c>
      <x:c r="B101" s="11" t="s">
        <x:v>231</x:v>
      </x:c>
      <x:c r="C101" s="11"/>
      <x:c r="D101" s="12">
        <x:v>46215.125</x:v>
      </x:c>
      <x:c r="E101" s="11" t="s">
        <x:v>94</x:v>
      </x:c>
      <x:c r="F101" s="12">
        <x:v>46214.875</x:v>
      </x:c>
      <x:c r="G101" s="11" t="s">
        <x:v>78</x:v>
      </x:c>
      <x:c r="H101" s="11" t="s">
        <x:v>238</x:v>
      </x:c>
      <x:c r="I101" s="11" t="s">
        <x:v>239</x:v>
      </x:c>
      <x:c r="J101" s="11" t="s">
        <x:v>154</x:v>
      </x:c>
      <x:c r="K101" s="13"/>
      <x:c r="L101" s="13"/>
      <x:c r="M101" s="14" t="str">
        <x:f t="shared" si="3"/>
      </x:c>
      <x:c r="N101" s="11" t="s">
        <x:v>83</x:v>
      </x:c>
    </x:row>
    <x:row r="102" ht="71.25">
      <x:c r="A102" s="11">
        <x:v>101</x:v>
      </x:c>
      <x:c r="B102" s="11" t="s">
        <x:v>240</x:v>
      </x:c>
      <x:c r="C102" s="11"/>
      <x:c r="D102" s="12">
        <x:v>46217.875</x:v>
      </x:c>
      <x:c r="E102" s="11" t="s">
        <x:v>78</x:v>
      </x:c>
      <x:c r="F102" s="12">
        <x:v>46217.625</x:v>
      </x:c>
      <x:c r="G102" s="11" t="s">
        <x:v>79</x:v>
      </x:c>
      <x:c r="H102" s="11" t="s">
        <x:v>241</x:v>
      </x:c>
      <x:c r="I102" s="11" t="s">
        <x:v>242</x:v>
      </x:c>
      <x:c r="J102" s="11" t="s">
        <x:v>243</x:v>
      </x:c>
      <x:c r="K102" s="13"/>
      <x:c r="L102" s="13"/>
      <x:c r="M102" s="14" t="str">
        <x:f t="shared" si="3"/>
      </x:c>
      <x:c r="N102" s="11" t="s">
        <x:v>83</x:v>
      </x:c>
    </x:row>
    <x:row r="103" ht="71.25">
      <x:c r="A103" s="11">
        <x:v>102</x:v>
      </x:c>
      <x:c r="B103" s="11" t="s">
        <x:v>240</x:v>
      </x:c>
      <x:c r="C103" s="11"/>
      <x:c r="D103" s="12">
        <x:v>46218.875</x:v>
      </x:c>
      <x:c r="E103" s="11" t="s">
        <x:v>78</x:v>
      </x:c>
      <x:c r="F103" s="12">
        <x:v>46218.625</x:v>
      </x:c>
      <x:c r="G103" s="11" t="s">
        <x:v>79</x:v>
      </x:c>
      <x:c r="H103" s="11" t="s">
        <x:v>244</x:v>
      </x:c>
      <x:c r="I103" s="11" t="s">
        <x:v>245</x:v>
      </x:c>
      <x:c r="J103" s="11" t="s">
        <x:v>136</x:v>
      </x:c>
      <x:c r="K103" s="13"/>
      <x:c r="L103" s="13"/>
      <x:c r="M103" s="14" t="str">
        <x:f t="shared" si="3"/>
      </x:c>
      <x:c r="N103" s="11" t="s">
        <x:v>83</x:v>
      </x:c>
    </x:row>
    <x:row r="104" ht="71.25">
      <x:c r="A104" s="11">
        <x:v>103</x:v>
      </x:c>
      <x:c r="B104" s="11" t="s">
        <x:v>246</x:v>
      </x:c>
      <x:c r="C104" s="11"/>
      <x:c r="D104" s="12">
        <x:v>46221.958333333336</x:v>
      </x:c>
      <x:c r="E104" s="11" t="s">
        <x:v>170</x:v>
      </x:c>
      <x:c r="F104" s="12">
        <x:v>46221.708333333336</x:v>
      </x:c>
      <x:c r="G104" s="11" t="s">
        <x:v>173</x:v>
      </x:c>
      <x:c r="H104" s="11" t="s">
        <x:v>247</x:v>
      </x:c>
      <x:c r="I104" s="11" t="s">
        <x:v>248</x:v>
      </x:c>
      <x:c r="J104" s="11" t="s">
        <x:v>143</x:v>
      </x:c>
      <x:c r="K104" s="13"/>
      <x:c r="L104" s="13"/>
      <x:c r="M104" s="14" t="str">
        <x:f t="shared" si="3"/>
      </x:c>
      <x:c r="N104" s="11" t="s">
        <x:v>83</x:v>
      </x:c>
    </x:row>
    <x:row r="105" ht="71.25">
      <x:c r="A105" s="11">
        <x:v>104</x:v>
      </x:c>
      <x:c r="B105" s="11" t="s">
        <x:v>249</x:v>
      </x:c>
      <x:c r="C105" s="11"/>
      <x:c r="D105" s="12">
        <x:v>46222.875</x:v>
      </x:c>
      <x:c r="E105" s="11" t="s">
        <x:v>78</x:v>
      </x:c>
      <x:c r="F105" s="12">
        <x:v>46222.625</x:v>
      </x:c>
      <x:c r="G105" s="11" t="s">
        <x:v>79</x:v>
      </x:c>
      <x:c r="H105" s="11" t="s">
        <x:v>250</x:v>
      </x:c>
      <x:c r="I105" s="11" t="s">
        <x:v>251</x:v>
      </x:c>
      <x:c r="J105" s="11" t="s">
        <x:v>252</x:v>
      </x:c>
      <x:c r="K105" s="13"/>
      <x:c r="L105" s="13"/>
      <x:c r="M105" s="14" t="str">
        <x:f t="shared" si="3"/>
      </x:c>
      <x:c r="N105" s="11" t="s">
        <x:v>83</x:v>
      </x:c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</x:row>
  </x:sheetData>
  <x:conditionalFormatting sqref="K2:L105">
    <x:cfRule type="expression" dxfId="64" priority="1">
      <x:formula>AND(K2&lt;&gt;"",L2&lt;&gt;"")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7963d3454d49a2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28" customWidth="1"/>
    <x:col min="2" max="2" width="90" customWidth="1"/>
  </x:cols>
  <x:sheetData>
    <x:row r="1" ht="20.25">
      <x:c r="A1" s="28" t="s">
        <x:v>253</x:v>
      </x:c>
      <x:c r="B1" s="26"/>
      <x:c r="C1" s="26"/>
      <x:c r="D1" s="26"/>
      <x:c r="E1" s="26"/>
      <x:c r="F1" s="9"/>
      <x:c r="G1" s="9"/>
      <x:c r="H1" s="9"/>
      <x:c r="I1" s="9"/>
      <x:c r="J1" s="9"/>
      <x:c r="K1" s="9"/>
      <x:c r="L1" s="9"/>
      <x:c r="M1" s="9"/>
      <x:c r="N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15">
      <x:c r="A3" s="1" t="s">
        <x:v>254</x:v>
      </x:c>
      <x:c r="B3" s="1" t="s">
        <x:v>24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15">
      <x:c r="A4" s="2" t="s">
        <x:v>255</x:v>
      </x:c>
      <x:c r="B4" s="10">
        <x:v>3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15">
      <x:c r="A5" s="2" t="s">
        <x:v>256</x:v>
      </x:c>
      <x:c r="B5" s="10">
        <x:v>1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 ht="15">
      <x:c r="A6" s="2" t="s">
        <x:v>257</x:v>
      </x:c>
      <x:c r="B6" s="10">
        <x:v>30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</x:row>
    <x:row r="7" ht="15">
      <x:c r="A7" s="2" t="s">
        <x:v>258</x:v>
      </x:c>
      <x:c r="B7" s="10">
        <x:v>104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</x:row>
    <x:row r="9" ht="15">
      <x:c r="A9" s="27" t="s">
        <x:v>259</x:v>
      </x:c>
      <x:c r="B9" s="26"/>
      <x:c r="C9" s="26"/>
      <x:c r="D9" s="26"/>
      <x:c r="E9" s="26"/>
      <x:c r="F9" s="9"/>
      <x:c r="G9" s="9"/>
      <x:c r="H9" s="9"/>
      <x:c r="I9" s="9"/>
      <x:c r="J9" s="9"/>
      <x:c r="K9" s="9"/>
      <x:c r="L9" s="9"/>
      <x:c r="M9" s="9"/>
      <x:c r="N9" s="9"/>
    </x:row>
    <x:row r="10">
      <x:c r="A10" s="9" t="s">
        <x:v>260</x:v>
      </x:c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</x:row>
    <x:row r="11">
      <x:c r="A11" s="9" t="s">
        <x:v>261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</x:row>
    <x:row r="12">
      <x:c r="A12" s="9" t="s">
        <x:v>262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</x:row>
    <x:row r="13">
      <x:c r="A13" s="9" t="s">
        <x:v>263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</x:row>
    <x:row r="14">
      <x:c r="A14" s="9" t="s">
        <x:v>264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</x:row>
    <x:row r="15">
      <x:c r="A15" s="9" t="s">
        <x:v>265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</x:row>
    <x:row r="16" ht="15">
      <x:c r="A16" s="15" t="s">
        <x:v>266</x:v>
      </x:c>
      <x:c r="B16" s="9" t="s">
        <x:v>83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</x:row>
    <x:row r="17">
      <x:c r="A17" s="9"/>
      <x:c r="B17" s="9" t="s">
        <x:v>267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</x:row>
  </x:sheetData>
  <x:mergeCells>
    <x:mergeCell ref="A1:E1"/>
    <x:mergeCell ref="A9:E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270</x:v>
      </x:c>
      <x:c r="C2" s="31"/>
      <x:c r="D2" s="31"/>
      <x:c r="F2" s="2" t="s">
        <x:v>271</x:v>
      </x:c>
      <x:c r="G2" s="7" t="n">
        <x:f>SUM(L7:L110)</x:f>
        <x:v>3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1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>
        <x:v>2</x:v>
      </x:c>
      <x:c r="J7" s="5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3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>
        <x:v>1</x:v>
      </x:c>
      <x:c r="J8" s="5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>
        <x:v>0</x:v>
      </x:c>
      <x:c r="J9" s="5">
        <x:v>1</x:v>
      </x:c>
      <x:c r="K9" s="6" t="str">
        <x:f t="shared" si="0"/>
        <x:v>2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>
        <x:v>2</x:v>
      </x:c>
      <x:c r="J10" s="5">
        <x:v>2</x:v>
      </x:c>
      <x:c r="K10" s="6" t="str">
        <x:f t="shared" si="0"/>
        <x:v>X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>
        <x:v>0</x:v>
      </x:c>
      <x:c r="J11" s="5">
        <x:v>3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>
        <x:v>3</x:v>
      </x:c>
      <x:c r="J12" s="5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>
        <x:v>0</x:v>
      </x:c>
      <x:c r="J13" s="5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>
        <x:v>1</x:v>
      </x:c>
      <x:c r="J14" s="5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>
        <x:v>4</x:v>
      </x:c>
      <x:c r="J15" s="5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>
        <x:v>2</x:v>
      </x:c>
      <x:c r="J16" s="5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>
        <x:v>0</x:v>
      </x:c>
      <x:c r="J17" s="5">
        <x:v>1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>
        <x:v>1</x:v>
      </x:c>
      <x:c r="J18" s="5">
        <x:v>1</x:v>
      </x:c>
      <x:c r="K18" s="6" t="str">
        <x:f t="shared" si="0"/>
        <x:v>X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>
        <x:v>4</x:v>
      </x:c>
      <x:c r="J19" s="5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>
        <x:v>2</x:v>
      </x:c>
      <x:c r="J20" s="5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>
        <x:v>1</x:v>
      </x:c>
      <x:c r="J21" s="5">
        <x:v>3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>
        <x:v>0</x:v>
      </x:c>
      <x:c r="J22" s="5">
        <x:v>0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>
        <x:v>2</x:v>
      </x:c>
      <x:c r="J23" s="5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>
        <x:v>0</x:v>
      </x:c>
      <x:c r="J24" s="5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>
        <x:v>2</x:v>
      </x:c>
      <x:c r="J25" s="5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>
        <x:v>1</x:v>
      </x:c>
      <x:c r="J26" s="5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>
        <x:v>3</x:v>
      </x:c>
      <x:c r="J27" s="5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>
        <x:v>1</x:v>
      </x:c>
      <x:c r="J28" s="5">
        <x:v>0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>
        <x:v>2</x:v>
      </x:c>
      <x:c r="J29" s="5">
        <x:v>0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>
        <x:v>0</x:v>
      </x:c>
      <x:c r="J30" s="5">
        <x:v>3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>
        <x:v>1</x:v>
      </x:c>
      <x:c r="J31" s="5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>
        <x:v>2</x:v>
      </x:c>
      <x:c r="J32" s="5">
        <x:v>2</x:v>
      </x:c>
      <x:c r="K32" s="6" t="str">
        <x:f t="shared" si="0"/>
        <x:v>X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>
        <x:v>2</x:v>
      </x:c>
      <x:c r="J33" s="5">
        <x:v>1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>
        <x:v>2</x:v>
      </x:c>
      <x:c r="J34" s="5">
        <x:v>0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>
        <x:v>2</x:v>
      </x:c>
      <x:c r="J35" s="5">
        <x:v>0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>
        <x:v>1</x:v>
      </x:c>
      <x:c r="J36" s="5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>
        <x:v>4</x:v>
      </x:c>
      <x:c r="J37" s="5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>
        <x:v>1</x:v>
      </x:c>
      <x:c r="J38" s="5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>
        <x:v>2</x:v>
      </x:c>
      <x:c r="J39" s="5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>
        <x:v>3</x:v>
      </x:c>
      <x:c r="J40" s="5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>
        <x:v>2</x:v>
      </x:c>
      <x:c r="J41" s="5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>
        <x:v>1</x:v>
      </x:c>
      <x:c r="J42" s="5">
        <x:v>1</x:v>
      </x:c>
      <x:c r="K42" s="6" t="str">
        <x:f t="shared" si="1"/>
        <x:v>X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>
        <x:v>3</x:v>
      </x:c>
      <x:c r="J43" s="5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>
        <x:v>2</x:v>
      </x:c>
      <x:c r="J44" s="5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>
        <x:v>3</x:v>
      </x:c>
      <x:c r="J45" s="5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>
        <x:v>0</x:v>
      </x:c>
      <x:c r="J46" s="5">
        <x:v>0</x:v>
      </x:c>
      <x:c r="K46" s="6" t="str">
        <x:f t="shared" si="1"/>
        <x:v>X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>
        <x:v>2</x:v>
      </x:c>
      <x:c r="J47" s="5">
        <x:v>0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>
        <x:v>2</x:v>
      </x:c>
      <x:c r="J48" s="5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>
        <x:v>2</x:v>
      </x:c>
      <x:c r="J49" s="5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>
        <x:v>0</x:v>
      </x:c>
      <x:c r="J50" s="5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>
        <x:v>3</x:v>
      </x:c>
      <x:c r="J51" s="5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>
        <x:v>2</x:v>
      </x:c>
      <x:c r="J52" s="5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>
        <x:v>0</x:v>
      </x:c>
      <x:c r="J53" s="5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>
        <x:v>2</x:v>
      </x:c>
      <x:c r="J54" s="5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>
        <x:v>3</x:v>
      </x:c>
      <x:c r="J55" s="5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>
        <x:v>1</x:v>
      </x:c>
      <x:c r="J56" s="5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 t="n">
        <x:v>2</x:v>
      </x:c>
      <x:c r="J57" s="5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 t="n">
        <x:v>0</x:v>
      </x:c>
      <x:c r="J58" s="5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>
        <x:v>0</x:v>
      </x:c>
      <x:c r="J59" s="5">
        <x:v>1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>
        <x:v>1</x:v>
      </x:c>
      <x:c r="J60" s="5">
        <x:v>1</x:v>
      </x:c>
      <x:c r="K60" s="6" t="str">
        <x:f t="shared" si="1"/>
        <x:v>X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>
        <x:v>0</x:v>
      </x:c>
      <x:c r="J61" s="5">
        <x:v>0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>
        <x:v>1</x:v>
      </x:c>
      <x:c r="J62" s="5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>
        <x:v>0</x:v>
      </x:c>
      <x:c r="J63" s="5">
        <x:v>1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>
        <x:v>0</x:v>
      </x:c>
      <x:c r="J64" s="5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>
        <x:v>1</x:v>
      </x:c>
      <x:c r="J65" s="5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>
        <x:v>2</x:v>
      </x:c>
      <x:c r="J66" s="5">
        <x:v>1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>
        <x:v>0</x:v>
      </x:c>
      <x:c r="J67" s="5">
        <x:v>0</x:v>
      </x:c>
      <x:c r="K67" s="6" t="str">
        <x:f t="shared" si="1"/>
        <x:v>X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>
        <x:v>1</x:v>
      </x:c>
      <x:c r="J68" s="5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>
        <x:v>0</x:v>
      </x:c>
      <x:c r="J69" s="5">
        <x:v>2</x:v>
      </x:c>
      <x:c r="K69" s="6" t="str">
        <x:f t="shared" si="1"/>
        <x:v>2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>
        <x:v>1</x:v>
      </x:c>
      <x:c r="J70" s="5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>
        <x:v>0</x:v>
      </x:c>
      <x:c r="J71" s="5">
        <x:v>0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>
        <x:v>0</x:v>
      </x:c>
      <x:c r="J72" s="5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>
        <x:v>0</x:v>
      </x:c>
      <x:c r="J73" s="5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>
        <x:v>1</x:v>
      </x:c>
      <x:c r="J74" s="5">
        <x:v>1</x:v>
      </x:c>
      <x:c r="K74" s="6" t="str">
        <x:f t="shared" si="2"/>
        <x:v>X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>
        <x:v>1</x:v>
      </x:c>
      <x:c r="J75" s="5">
        <x:v>1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>
        <x:v>2</x:v>
      </x:c>
      <x:c r="J76" s="5">
        <x:v>1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>
        <x:v>2</x:v>
      </x:c>
      <x:c r="J77" s="5">
        <x:v>2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>
        <x:v>0</x:v>
      </x:c>
      <x:c r="J78" s="5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>
        <x:v>2</x:v>
      </x:c>
      <x:c r="J79" s="5">
        <x:v>2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>
        <x:v>0</x:v>
      </x:c>
      <x:c r="J80" s="5">
        <x:v>1</x:v>
      </x:c>
      <x:c r="K80" s="6" t="str">
        <x:f t="shared" si="2"/>
        <x:v>2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>
        <x:v>1</x:v>
      </x:c>
      <x:c r="J81" s="5">
        <x:v>1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>
        <x:v>1</x:v>
      </x:c>
      <x:c r="J82" s="5">
        <x:v>0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>
        <x:v>1</x:v>
      </x:c>
      <x:c r="J83" s="5">
        <x:v>1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>
        <x:v>2</x:v>
      </x:c>
      <x:c r="J84" s="5">
        <x:v>1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>
        <x:v>3</x:v>
      </x:c>
      <x:c r="J85" s="5">
        <x:v>0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>
        <x:v>2</x:v>
      </x:c>
      <x:c r="J86" s="5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>
        <x:v>2</x:v>
      </x:c>
      <x:c r="J87" s="5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>
        <x:v>2</x:v>
      </x:c>
      <x:c r="J88" s="5">
        <x:v>0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>
        <x:v>2</x:v>
      </x:c>
      <x:c r="J89" s="5">
        <x:v>1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>
        <x:v>1</x:v>
      </x:c>
      <x:c r="J90" s="5">
        <x:v>1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>
        <x:v>3</x:v>
      </x:c>
      <x:c r="J91" s="5">
        <x:v>1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>
        <x:v>0</x:v>
      </x:c>
      <x:c r="J92" s="5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>
        <x:v>2</x:v>
      </x:c>
      <x:c r="J93" s="5">
        <x:v>0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>
        <x:v>3</x:v>
      </x:c>
      <x:c r="J94" s="5">
        <x:v>1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>
        <x:v>1</x:v>
      </x:c>
      <x:c r="J95" s="5">
        <x:v>1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>
        <x:v>2</x:v>
      </x:c>
      <x:c r="J96" s="5">
        <x:v>1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>
        <x:v>1</x:v>
      </x:c>
      <x:c r="J97" s="5">
        <x:v>1</x:v>
      </x:c>
      <x:c r="K97" s="6" t="str">
        <x:f t="shared" si="2"/>
        <x:v>X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>
        <x:v>0</x:v>
      </x:c>
      <x:c r="J98" s="5">
        <x:v>0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>
        <x:v>1</x:v>
      </x:c>
      <x:c r="J99" s="5">
        <x:v>1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>
        <x:v>0</x:v>
      </x:c>
      <x:c r="J100" s="5">
        <x:v>1</x:v>
      </x:c>
      <x:c r="K100" s="6" t="str">
        <x:f t="shared" si="2"/>
        <x:v>2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>
        <x:v>2</x:v>
      </x:c>
      <x:c r="J101" s="5">
        <x:v>2</x:v>
      </x:c>
      <x:c r="K101" s="6" t="str">
        <x:f t="shared" si="2"/>
        <x:v>X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>
        <x:v>1</x:v>
      </x:c>
      <x:c r="J102" s="5">
        <x:v>0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>
        <x:v>2</x:v>
      </x:c>
      <x:c r="J103" s="5">
        <x:v>2</x:v>
      </x:c>
      <x:c r="K103" s="6" t="str">
        <x:f t="shared" ref="K103:K110" si="3">IF(OR(I103="",J103=""),"",IF(I103&gt;J103,"1",IF(I103=J103,"X","2")))</x:f>
        <x:v>X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>
        <x:v>0</x:v>
      </x:c>
      <x:c r="J104" s="5">
        <x:v>1</x:v>
      </x:c>
      <x:c r="K104" s="6" t="str">
        <x:f t="shared" si="3"/>
        <x:v>2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>
        <x:v>2</x:v>
      </x:c>
      <x:c r="J105" s="5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>
        <x:v>1</x:v>
      </x:c>
      <x:c r="J106" s="5">
        <x:v>2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>
        <x:v>3</x:v>
      </x:c>
      <x:c r="J107" s="5">
        <x:v>1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>
        <x:v>2</x:v>
      </x:c>
      <x:c r="J108" s="5">
        <x:v>2</x:v>
      </x:c>
      <x:c r="K108" s="6" t="str">
        <x:f t="shared" si="3"/>
        <x:v>X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>
        <x:v>3</x:v>
      </x:c>
      <x:c r="J109" s="5">
        <x:v>0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>
        <x:v>1</x:v>
      </x:c>
      <x:c r="J110" s="5">
        <x:v>1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a375a9fb8f149d8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278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3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1</x:v>
      </x:c>
      <x:c r="J8" s="16">
        <x:v>0</x:v>
      </x:c>
      <x:c r="K8" s="6" t="str">
        <x:f t="shared" si="0"/>
        <x:v>1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2</x:v>
      </x:c>
      <x:c r="J9" s="16">
        <x:v>0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1</x:v>
      </x:c>
      <x:c r="K10" s="6" t="str">
        <x:f t="shared" si="0"/>
        <x:v>X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1</x:v>
      </x:c>
      <x:c r="J12" s="16">
        <x:v>1</x:v>
      </x:c>
      <x:c r="K12" s="6" t="str">
        <x:f t="shared" si="0"/>
        <x:v>X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1</x:v>
      </x:c>
      <x:c r="J13" s="16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0</x:v>
      </x:c>
      <x:c r="J14" s="16">
        <x:v>1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4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1</x:v>
      </x:c>
      <x:c r="J16" s="16">
        <x:v>0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0</x:v>
      </x:c>
      <x:c r="K17" s="6" t="str">
        <x:f t="shared" si="0"/>
        <x:v>1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5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2</x:v>
      </x:c>
      <x:c r="J20" s="16">
        <x:v>2</x:v>
      </x:c>
      <x:c r="K20" s="6" t="str">
        <x:f t="shared" si="0"/>
        <x:v>X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0</x:v>
      </x:c>
      <x:c r="J21" s="16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2</x:v>
      </x:c>
      <x:c r="J22" s="16">
        <x:v>0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1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2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2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1</x:v>
      </x:c>
      <x:c r="J28" s="16">
        <x:v>1</x:v>
      </x:c>
      <x:c r="K28" s="6" t="str">
        <x:f t="shared" si="0"/>
        <x:v>X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0</x:v>
      </x:c>
      <x:c r="J29" s="16">
        <x:v>2</x:v>
      </x:c>
      <x:c r="K29" s="6" t="str">
        <x:f t="shared" si="0"/>
        <x:v>2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1</x:v>
      </x:c>
      <x:c r="J31" s="16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2</x:v>
      </x:c>
      <x:c r="J33" s="16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1</x:v>
      </x:c>
      <x:c r="K34" s="6" t="str">
        <x:f t="shared" si="0"/>
        <x:v>X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2</x:v>
      </x:c>
      <x:c r="J35" s="16">
        <x:v>0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1</x:v>
      </x:c>
      <x:c r="J36" s="16">
        <x:v>0</x:v>
      </x:c>
      <x:c r="K36" s="6" t="str">
        <x:f t="shared" si="0"/>
        <x:v>1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2</x:v>
      </x:c>
      <x:c r="J38" s="16">
        <x:v>0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1</x:v>
      </x:c>
      <x:c r="J39" s="16">
        <x:v>1</x:v>
      </x:c>
      <x:c r="K39" s="6" t="str">
        <x:f t="shared" ref="K39:K70" si="1">IF(OR(I39="",J39=""),"",IF(I39&gt;J39,"1",IF(I39=J39,"X","2")))</x:f>
        <x:v>X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2</x:v>
      </x:c>
      <x:c r="J40" s="16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3</x:v>
      </x:c>
      <x:c r="J41" s="16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0</x:v>
      </x:c>
      <x:c r="J42" s="16">
        <x:v>1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1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4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0</x:v>
      </x:c>
      <x:c r="J46" s="16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2</x:v>
      </x:c>
      <x:c r="J47" s="16">
        <x:v>0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1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0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1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1</x:v>
      </x:c>
      <x:c r="J52" s="16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1</x:v>
      </x:c>
      <x:c r="J54" s="16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2</x:v>
      </x:c>
      <x:c r="J55" s="16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1</x:v>
      </x:c>
      <x:c r="J56" s="16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2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0</x:v>
      </x:c>
      <x:c r="J58" s="16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0</x:v>
      </x:c>
      <x:c r="J60" s="16">
        <x:v>1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0</x:v>
      </x:c>
      <x:c r="J61" s="16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3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0</x:v>
      </x:c>
      <x:c r="J63" s="16">
        <x:v>2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1</x:v>
      </x:c>
      <x:c r="J64" s="16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0</x:v>
      </x:c>
      <x:c r="K65" s="6" t="str">
        <x:f t="shared" si="1"/>
        <x:v>1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2</x:v>
      </x:c>
      <x:c r="J66" s="16">
        <x:v>2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1</x:v>
      </x:c>
      <x:c r="J67" s="16">
        <x:v>1</x:v>
      </x:c>
      <x:c r="K67" s="6" t="str">
        <x:f t="shared" si="1"/>
        <x:v>X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0</x:v>
      </x:c>
      <x:c r="J69" s="16">
        <x:v>0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2</x:v>
      </x:c>
      <x:c r="J71" s="16">
        <x:v>0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1</x:v>
      </x:c>
      <x:c r="J72" s="16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1</x:v>
      </x:c>
      <x:c r="J74" s="16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1</x:v>
      </x:c>
      <x:c r="J75" s="16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0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1</x:v>
      </x:c>
      <x:c r="J77" s="16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2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1</x:v>
      </x:c>
      <x:c r="J79" s="16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2</x:v>
      </x:c>
      <x:c r="J80" s="16">
        <x:v>0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3</x:v>
      </x:c>
      <x:c r="J81" s="16">
        <x:v>1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1</x:v>
      </x:c>
      <x:c r="J82" s="16">
        <x:v>0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2</x:v>
      </x:c>
      <x:c r="J84" s="16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3</x:v>
      </x:c>
      <x:c r="J85" s="16">
        <x:v>1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3</x:v>
      </x:c>
      <x:c r="J86" s="16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2</x:v>
      </x:c>
      <x:c r="J87" s="16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2</x:v>
      </x:c>
      <x:c r="J88" s="16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2</x:v>
      </x:c>
      <x:c r="J89" s="16">
        <x:v>0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2</x:v>
      </x:c>
      <x:c r="J90" s="16">
        <x:v>0</x:v>
      </x:c>
      <x:c r="K90" s="6" t="str">
        <x:f t="shared" si="2"/>
        <x:v>1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1</x:v>
      </x:c>
      <x:c r="J91" s="16">
        <x:v>0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0</x:v>
      </x:c>
      <x:c r="J92" s="16">
        <x:v>1</x:v>
      </x:c>
      <x:c r="K92" s="6" t="str">
        <x:f t="shared" si="2"/>
        <x:v>2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2</x:v>
      </x:c>
      <x:c r="J93" s="16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3</x:v>
      </x:c>
      <x:c r="J94" s="16">
        <x:v>1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1</x:v>
      </x:c>
      <x:c r="J95" s="16">
        <x:v>2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3</x:v>
      </x:c>
      <x:c r="J96" s="16">
        <x:v>2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1</x:v>
      </x:c>
      <x:c r="J97" s="16">
        <x:v>3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1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3</x:v>
      </x:c>
      <x:c r="J99" s="16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2</x:v>
      </x:c>
      <x:c r="J100" s="16">
        <x:v>0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1</x:v>
      </x:c>
      <x:c r="J101" s="16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1</x:v>
      </x:c>
      <x:c r="J102" s="16">
        <x:v>3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1</x:v>
      </x:c>
      <x:c r="J103" s="16">
        <x:v>2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2</x:v>
      </x:c>
      <x:c r="J104" s="16">
        <x:v>0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1</x:v>
      </x:c>
      <x:c r="J105" s="16">
        <x:v>2</x:v>
      </x:c>
      <x:c r="K105" s="6" t="str">
        <x:f t="shared" si="3"/>
        <x:v>2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0</x:v>
      </x:c>
      <x:c r="J106" s="16">
        <x:v>1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3</x:v>
      </x:c>
      <x:c r="J107" s="16">
        <x:v>2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2</x:v>
      </x:c>
      <x:c r="J108" s="16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2</x:v>
      </x:c>
      <x:c r="J109" s="16">
        <x:v>0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3</x:v>
      </x:c>
      <x:c r="J110" s="16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63" priority="1">
      <x:formula>AND(I7&lt;&gt;"",J7&lt;&gt;"")</x:formula>
    </x:cfRule>
  </x:conditionalFormatting>
  <x:conditionalFormatting sqref="J7:J110">
    <x:cfRule type="expression" dxfId="62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2a314071e7441a8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279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7">
        <x:v>2</x:v>
      </x:c>
      <x:c r="J7" s="17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7">
        <x:v>1</x:v>
      </x:c>
      <x:c r="J8" s="17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7">
        <x:v>2</x:v>
      </x:c>
      <x:c r="J9" s="17">
        <x:v>1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7">
        <x:v>2</x:v>
      </x:c>
      <x:c r="J10" s="17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7">
        <x:v>0</x:v>
      </x:c>
      <x:c r="J11" s="17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7">
        <x:v>2</x:v>
      </x:c>
      <x:c r="J12" s="17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7">
        <x:v>1</x:v>
      </x:c>
      <x:c r="J13" s="17">
        <x:v>1</x:v>
      </x:c>
      <x:c r="K13" s="6" t="str">
        <x:f t="shared" si="0"/>
        <x:v>X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7">
        <x:v>1</x:v>
      </x:c>
      <x:c r="J14" s="17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7">
        <x:v>4</x:v>
      </x:c>
      <x:c r="J15" s="17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7">
        <x:v>2</x:v>
      </x:c>
      <x:c r="J16" s="17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7">
        <x:v>1</x:v>
      </x:c>
      <x:c r="J17" s="17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7">
        <x:v>2</x:v>
      </x:c>
      <x:c r="J18" s="17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7">
        <x:v>4</x:v>
      </x:c>
      <x:c r="J19" s="17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7">
        <x:v>2</x:v>
      </x:c>
      <x:c r="J20" s="17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7">
        <x:v>0</x:v>
      </x:c>
      <x:c r="J21" s="17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7">
        <x:v>1</x:v>
      </x:c>
      <x:c r="J22" s="17">
        <x:v>1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7">
        <x:v>2</x:v>
      </x:c>
      <x:c r="J23" s="17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7">
        <x:v>1</x:v>
      </x:c>
      <x:c r="J24" s="17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7">
        <x:v>3</x:v>
      </x:c>
      <x:c r="J25" s="17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7">
        <x:v>2</x:v>
      </x:c>
      <x:c r="J26" s="17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7">
        <x:v>3</x:v>
      </x:c>
      <x:c r="J27" s="17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7">
        <x:v>2</x:v>
      </x:c>
      <x:c r="J28" s="17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7">
        <x:v>1</x:v>
      </x:c>
      <x:c r="J29" s="17">
        <x:v>1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7">
        <x:v>1</x:v>
      </x:c>
      <x:c r="J30" s="17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7">
        <x:v>2</x:v>
      </x:c>
      <x:c r="J31" s="17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7">
        <x:v>2</x:v>
      </x:c>
      <x:c r="J32" s="17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7">
        <x:v>2</x:v>
      </x:c>
      <x:c r="J33" s="17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7">
        <x:v>2</x:v>
      </x:c>
      <x:c r="J34" s="17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7">
        <x:v>2</x:v>
      </x:c>
      <x:c r="J35" s="17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7">
        <x:v>1</x:v>
      </x:c>
      <x:c r="J36" s="17">
        <x:v>1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7">
        <x:v>4</x:v>
      </x:c>
      <x:c r="J37" s="17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7">
        <x:v>2</x:v>
      </x:c>
      <x:c r="J38" s="17">
        <x:v>1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7">
        <x:v>2</x:v>
      </x:c>
      <x:c r="J39" s="17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7">
        <x:v>3</x:v>
      </x:c>
      <x:c r="J40" s="17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7">
        <x:v>2</x:v>
      </x:c>
      <x:c r="J41" s="17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7">
        <x:v>1</x:v>
      </x:c>
      <x:c r="J42" s="17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7">
        <x:v>3</x:v>
      </x:c>
      <x:c r="J43" s="17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7">
        <x:v>2</x:v>
      </x:c>
      <x:c r="J44" s="17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7">
        <x:v>2</x:v>
      </x:c>
      <x:c r="J45" s="17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7">
        <x:v>1</x:v>
      </x:c>
      <x:c r="J46" s="17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7">
        <x:v>2</x:v>
      </x:c>
      <x:c r="J47" s="17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7">
        <x:v>3</x:v>
      </x:c>
      <x:c r="J48" s="17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7">
        <x:v>1</x:v>
      </x:c>
      <x:c r="J49" s="17">
        <x:v>1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7">
        <x:v>1</x:v>
      </x:c>
      <x:c r="J50" s="17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7">
        <x:v>3</x:v>
      </x:c>
      <x:c r="J51" s="17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7">
        <x:v>2</x:v>
      </x:c>
      <x:c r="J52" s="17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7">
        <x:v>0</x:v>
      </x:c>
      <x:c r="J53" s="17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7">
        <x:v>2</x:v>
      </x:c>
      <x:c r="J54" s="17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7">
        <x:v>1</x:v>
      </x:c>
      <x:c r="J55" s="17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7">
        <x:v>2</x:v>
      </x:c>
      <x:c r="J56" s="17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7" t="n">
        <x:v>2</x:v>
      </x:c>
      <x:c r="J57" s="17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7" t="n">
        <x:v>0</x:v>
      </x:c>
      <x:c r="J58" s="17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7">
        <x:v>1</x:v>
      </x:c>
      <x:c r="J59" s="17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7">
        <x:v>1</x:v>
      </x:c>
      <x:c r="J60" s="17">
        <x:v>1</x:v>
      </x:c>
      <x:c r="K60" s="6" t="str">
        <x:f t="shared" si="1"/>
        <x:v>X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7">
        <x:v>1</x:v>
      </x:c>
      <x:c r="J61" s="17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7">
        <x:v>0</x:v>
      </x:c>
      <x:c r="J62" s="17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7">
        <x:v>1</x:v>
      </x:c>
      <x:c r="J63" s="17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7">
        <x:v>0</x:v>
      </x:c>
      <x:c r="J64" s="17">
        <x:v>3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7">
        <x:v>1</x:v>
      </x:c>
      <x:c r="J65" s="17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7">
        <x:v>1</x:v>
      </x:c>
      <x:c r="J66" s="17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7">
        <x:v>0</x:v>
      </x:c>
      <x:c r="J67" s="17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7">
        <x:v>2</x:v>
      </x:c>
      <x:c r="J68" s="17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7">
        <x:v>2</x:v>
      </x:c>
      <x:c r="J69" s="17">
        <x:v>1</x:v>
      </x:c>
      <x:c r="K69" s="6" t="str">
        <x:f t="shared" si="1"/>
        <x:v>1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7">
        <x:v>1</x:v>
      </x:c>
      <x:c r="J70" s="17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7">
        <x:v>1</x:v>
      </x:c>
      <x:c r="J71" s="17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7">
        <x:v>0</x:v>
      </x:c>
      <x:c r="J72" s="17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7">
        <x:v>0</x:v>
      </x:c>
      <x:c r="J73" s="17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7">
        <x:v>2</x:v>
      </x:c>
      <x:c r="J74" s="17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7">
        <x:v>1</x:v>
      </x:c>
      <x:c r="J75" s="17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7">
        <x:v>1</x:v>
      </x:c>
      <x:c r="J76" s="17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7">
        <x:v>1</x:v>
      </x:c>
      <x:c r="J77" s="17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7">
        <x:v>0</x:v>
      </x:c>
      <x:c r="J78" s="17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7">
        <x:v>1</x:v>
      </x:c>
      <x:c r="J79" s="17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7">
        <x:v>2</x:v>
      </x:c>
      <x:c r="J80" s="17">
        <x:v>1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7">
        <x:v>3</x:v>
      </x:c>
      <x:c r="J81" s="17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7">
        <x:v>2</x:v>
      </x:c>
      <x:c r="J82" s="17">
        <x:v>0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7">
        <x:v>1</x:v>
      </x:c>
      <x:c r="J83" s="17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7">
        <x:v>3</x:v>
      </x:c>
      <x:c r="J84" s="17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7">
        <x:v>2</x:v>
      </x:c>
      <x:c r="J85" s="17">
        <x:v>0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7">
        <x:v>2</x:v>
      </x:c>
      <x:c r="J86" s="17">
        <x:v>1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7">
        <x:v>2</x:v>
      </x:c>
      <x:c r="J87" s="17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7">
        <x:v>2</x:v>
      </x:c>
      <x:c r="J88" s="17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7">
        <x:v>3</x:v>
      </x:c>
      <x:c r="J89" s="17">
        <x:v>1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7">
        <x:v>1</x:v>
      </x:c>
      <x:c r="J90" s="17">
        <x:v>2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7">
        <x:v>2</x:v>
      </x:c>
      <x:c r="J91" s="17">
        <x:v>0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7">
        <x:v>1</x:v>
      </x:c>
      <x:c r="J92" s="17">
        <x:v>2</x:v>
      </x:c>
      <x:c r="K92" s="6" t="str">
        <x:f t="shared" si="2"/>
        <x:v>2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7">
        <x:v>3</x:v>
      </x:c>
      <x:c r="J93" s="17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7">
        <x:v>2</x:v>
      </x:c>
      <x:c r="J94" s="17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7">
        <x:v>2</x:v>
      </x:c>
      <x:c r="J95" s="17">
        <x:v>1</x:v>
      </x:c>
      <x:c r="K95" s="6" t="str">
        <x:f t="shared" si="2"/>
        <x:v>1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7">
        <x:v>2</x:v>
      </x:c>
      <x:c r="J96" s="17">
        <x:v>0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7">
        <x:v>1</x:v>
      </x:c>
      <x:c r="J97" s="17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7">
        <x:v>2</x:v>
      </x:c>
      <x:c r="J98" s="17">
        <x:v>0</x:v>
      </x:c>
      <x:c r="K98" s="6" t="str">
        <x:f t="shared" si="2"/>
        <x:v>1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7">
        <x:v>2</x:v>
      </x:c>
      <x:c r="J99" s="17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7">
        <x:v>1</x:v>
      </x:c>
      <x:c r="J100" s="17">
        <x:v>2</x:v>
      </x:c>
      <x:c r="K100" s="6" t="str">
        <x:f t="shared" si="2"/>
        <x:v>2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7">
        <x:v>1</x:v>
      </x:c>
      <x:c r="J101" s="17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7">
        <x:v>2</x:v>
      </x:c>
      <x:c r="J102" s="17">
        <x:v>1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7">
        <x:v>2</x:v>
      </x:c>
      <x:c r="J103" s="17">
        <x:v>1</x:v>
      </x:c>
      <x:c r="K103" s="6" t="str">
        <x:f t="shared" ref="K103:K110" si="3">IF(OR(I103="",J103=""),"",IF(I103&gt;J103,"1",IF(I103=J103,"X","2")))</x:f>
        <x:v>1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7">
        <x:v>1</x:v>
      </x:c>
      <x:c r="J104" s="17">
        <x:v>2</x:v>
      </x:c>
      <x:c r="K104" s="6" t="str">
        <x:f t="shared" si="3"/>
        <x:v>2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7">
        <x:v>1</x:v>
      </x:c>
      <x:c r="J105" s="17">
        <x:v>2</x:v>
      </x:c>
      <x:c r="K105" s="6" t="str">
        <x:f t="shared" si="3"/>
        <x:v>2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7">
        <x:v>2</x:v>
      </x:c>
      <x:c r="J106" s="17">
        <x:v>0</x:v>
      </x:c>
      <x:c r="K106" s="6" t="str">
        <x:f t="shared" si="3"/>
        <x:v>1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7">
        <x:v>2</x:v>
      </x:c>
      <x:c r="J107" s="17">
        <x:v>1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7">
        <x:v>1</x:v>
      </x:c>
      <x:c r="J108" s="17">
        <x:v>2</x:v>
      </x:c>
      <x:c r="K108" s="6" t="str">
        <x:f t="shared" si="3"/>
        <x:v>2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7">
        <x:v>2</x:v>
      </x:c>
      <x:c r="J109" s="17">
        <x:v>1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7">
        <x:v>1</x:v>
      </x:c>
      <x:c r="J110" s="17">
        <x:v>2</x:v>
      </x:c>
      <x:c r="K110" s="6" t="str">
        <x:f t="shared" si="3"/>
        <x:v>2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59" priority="1">
      <x:formula>AND(I7&lt;&gt;"",J7&lt;&gt;"")</x:formula>
    </x:cfRule>
  </x:conditionalFormatting>
  <x:conditionalFormatting sqref="J7:J110">
    <x:cfRule type="expression" dxfId="58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4e6f872c45241eb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280</x:v>
      </x:c>
      <x:c r="C2" s="31"/>
      <x:c r="D2" s="31"/>
      <x:c r="F2" s="2" t="s">
        <x:v>271</x:v>
      </x:c>
      <x:c r="G2" s="7" t="n">
        <x:f>SUM(L7:L110)</x:f>
        <x:v>3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1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3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1</x:v>
      </x:c>
      <x:c r="J8" s="16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2</x:v>
      </x:c>
      <x:c r="J9" s="16">
        <x:v>1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1</x:v>
      </x:c>
      <x:c r="K10" s="6" t="str">
        <x:f t="shared" si="0"/>
        <x:v>X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2</x:v>
      </x:c>
      <x:c r="J12" s="16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0</x:v>
      </x:c>
      <x:c r="J13" s="16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1</x:v>
      </x:c>
      <x:c r="K14" s="6" t="str">
        <x:f t="shared" si="0"/>
        <x:v>X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3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2</x:v>
      </x:c>
      <x:c r="J16" s="16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3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2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0</x:v>
      </x:c>
      <x:c r="J21" s="16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2</x:v>
      </x:c>
      <x:c r="J22" s="16">
        <x:v>1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1</x:v>
      </x:c>
      <x:c r="J24" s="16">
        <x:v>1</x:v>
      </x:c>
      <x:c r="K24" s="6" t="str">
        <x:f t="shared" si="0"/>
        <x:v>X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3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1</x:v>
      </x:c>
      <x:c r="K26" s="6" t="str">
        <x:f t="shared" si="0"/>
        <x:v>X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2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2</x:v>
      </x:c>
      <x:c r="J28" s="16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1</x:v>
      </x:c>
      <x:c r="J29" s="16">
        <x:v>1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1</x:v>
      </x:c>
      <x:c r="J30" s="16">
        <x:v>1</x:v>
      </x:c>
      <x:c r="K30" s="6" t="str">
        <x:f t="shared" si="0"/>
        <x:v>X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2</x:v>
      </x:c>
      <x:c r="J33" s="16">
        <x:v>1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1</x:v>
      </x:c>
      <x:c r="K34" s="6" t="str">
        <x:f t="shared" si="0"/>
        <x:v>X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1</x:v>
      </x:c>
      <x:c r="J35" s="16">
        <x:v>1</x:v>
      </x:c>
      <x:c r="K35" s="6" t="str">
        <x:f t="shared" si="0"/>
        <x:v>X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0</x:v>
      </x:c>
      <x:c r="J36" s="16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1</x:v>
      </x:c>
      <x:c r="J38" s="16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2</x:v>
      </x:c>
      <x:c r="J39" s="16">
        <x:v>0</x:v>
      </x:c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2</x:v>
      </x:c>
      <x:c r="J40" s="16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2</x:v>
      </x:c>
      <x:c r="J41" s="16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0</x:v>
      </x:c>
      <x:c r="J42" s="16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2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1</x:v>
      </x:c>
      <x:c r="J46" s="16">
        <x:v>1</x:v>
      </x:c>
      <x:c r="K46" s="6" t="str">
        <x:f t="shared" si="1"/>
        <x:v>X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3</x:v>
      </x:c>
      <x:c r="J47" s="16">
        <x:v>0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3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1</x:v>
      </x:c>
      <x:c r="J49" s="16">
        <x:v>2</x:v>
      </x:c>
      <x:c r="K49" s="6" t="str">
        <x:f t="shared" si="1"/>
        <x:v>2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1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2</x:v>
      </x:c>
      <x:c r="J52" s="16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1</x:v>
      </x:c>
      <x:c r="J54" s="16">
        <x:v>1</x:v>
      </x:c>
      <x:c r="K54" s="6" t="str">
        <x:f t="shared" si="1"/>
        <x:v>X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2</x:v>
      </x:c>
      <x:c r="J55" s="16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1</x:v>
      </x:c>
      <x:c r="J56" s="16">
        <x:v>1</x:v>
      </x:c>
      <x:c r="K56" s="6" t="str">
        <x:f t="shared" si="1"/>
        <x:v>X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3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0</x:v>
      </x:c>
      <x:c r="J58" s="16" t="n">
        <x:v>3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0</x:v>
      </x:c>
      <x:c r="J60" s="16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0</x:v>
      </x:c>
      <x:c r="J61" s="16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0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0</x:v>
      </x:c>
      <x:c r="J64" s="16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0</x:v>
      </x:c>
      <x:c r="J67" s="16">
        <x:v>3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2</x:v>
      </x:c>
      <x:c r="J68" s="16">
        <x:v>1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1</x:v>
      </x:c>
      <x:c r="J69" s="16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1</x:v>
      </x:c>
      <x:c r="J71" s="16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0</x:v>
      </x:c>
      <x:c r="J72" s="16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0</x:v>
      </x:c>
      <x:c r="J75" s="16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1</x:v>
      </x:c>
      <x:c r="J77" s="16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1</x:v>
      </x:c>
      <x:c r="J79" s="16">
        <x:v>1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1</x:v>
      </x:c>
      <x:c r="J80" s="16">
        <x:v>1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1</x:v>
      </x:c>
      <x:c r="J81" s="16">
        <x:v>1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1</x:v>
      </x:c>
      <x:c r="J82" s="16">
        <x:v>1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1</x:v>
      </x:c>
      <x:c r="J83" s="16">
        <x:v>1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1</x:v>
      </x:c>
      <x:c r="J84" s="16">
        <x:v>1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1</x:v>
      </x:c>
      <x:c r="J85" s="16">
        <x:v>1</x:v>
      </x:c>
      <x:c r="K85" s="6" t="str">
        <x:f t="shared" si="2"/>
        <x:v>X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1</x:v>
      </x:c>
      <x:c r="J86" s="16">
        <x:v>1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1</x:v>
      </x:c>
      <x:c r="J87" s="16">
        <x:v>1</x:v>
      </x:c>
      <x:c r="K87" s="6" t="str">
        <x:f t="shared" si="2"/>
        <x:v>X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1</x:v>
      </x:c>
      <x:c r="J88" s="16">
        <x:v>1</x:v>
      </x:c>
      <x:c r="K88" s="6" t="str">
        <x:f t="shared" si="2"/>
        <x:v>X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1</x:v>
      </x:c>
      <x:c r="J89" s="16">
        <x:v>1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1</x:v>
      </x:c>
      <x:c r="J90" s="16">
        <x:v>1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1</x:v>
      </x:c>
      <x:c r="J91" s="16">
        <x:v>1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1</x:v>
      </x:c>
      <x:c r="J92" s="16">
        <x:v>1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2</x:v>
      </x:c>
      <x:c r="J93" s="16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1</x:v>
      </x:c>
      <x:c r="J94" s="16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2</x:v>
      </x:c>
      <x:c r="J95" s="16">
        <x:v>0</x:v>
      </x:c>
      <x:c r="K95" s="6" t="str">
        <x:f t="shared" si="2"/>
        <x:v>1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2</x:v>
      </x:c>
      <x:c r="J96" s="16">
        <x:v>1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2</x:v>
      </x:c>
      <x:c r="J97" s="16">
        <x:v>1</x:v>
      </x:c>
      <x:c r="K97" s="6" t="str">
        <x:f t="shared" si="2"/>
        <x:v>1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1</x:v>
      </x:c>
      <x:c r="J98" s="16">
        <x:v>1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3</x:v>
      </x:c>
      <x:c r="J99" s="16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2</x:v>
      </x:c>
      <x:c r="J100" s="16">
        <x:v>1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2</x:v>
      </x:c>
      <x:c r="J101" s="16">
        <x:v>1</x:v>
      </x:c>
      <x:c r="K101" s="6" t="str">
        <x:f t="shared" si="2"/>
        <x:v>1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1</x:v>
      </x:c>
      <x:c r="J102" s="16">
        <x:v>0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2</x:v>
      </x:c>
      <x:c r="J103" s="16">
        <x:v>1</x:v>
      </x:c>
      <x:c r="K103" s="6" t="str">
        <x:f t="shared" ref="K103:K110" si="3">IF(OR(I103="",J103=""),"",IF(I103&gt;J103,"1",IF(I103=J103,"X","2")))</x:f>
        <x:v>1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2</x:v>
      </x:c>
      <x:c r="J104" s="16">
        <x:v>0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1</x:v>
      </x:c>
      <x:c r="J105" s="16">
        <x:v>0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2</x:v>
      </x:c>
      <x:c r="J106" s="16">
        <x:v>1</x:v>
      </x:c>
      <x:c r="K106" s="6" t="str">
        <x:f t="shared" si="3"/>
        <x:v>1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2</x:v>
      </x:c>
      <x:c r="J107" s="16">
        <x:v>1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3</x:v>
      </x:c>
      <x:c r="J108" s="16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2</x:v>
      </x:c>
      <x:c r="J109" s="16">
        <x:v>1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1</x:v>
      </x:c>
      <x:c r="J110" s="16">
        <x:v>2</x:v>
      </x:c>
      <x:c r="K110" s="6" t="str">
        <x:f t="shared" si="3"/>
        <x:v>2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55" priority="1">
      <x:formula>AND(I7&lt;&gt;"",J7&lt;&gt;"")</x:formula>
    </x:cfRule>
  </x:conditionalFormatting>
  <x:conditionalFormatting sqref="J7:J110">
    <x:cfRule type="expression" dxfId="54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c5f4beb8deb4156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281</x:v>
      </x:c>
      <x:c r="C2" s="31"/>
      <x:c r="D2" s="31"/>
      <x:c r="F2" s="2" t="s">
        <x:v>271</x:v>
      </x:c>
      <x:c r="G2" s="7" t="n">
        <x:f>SUM(L7:L110)</x:f>
        <x:v>3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1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7">
        <x:v>2</x:v>
      </x:c>
      <x:c r="J7" s="17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3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7">
        <x:v>1</x:v>
      </x:c>
      <x:c r="J8" s="17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7">
        <x:v>2</x:v>
      </x:c>
      <x:c r="J9" s="17">
        <x:v>0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7">
        <x:v>2</x:v>
      </x:c>
      <x:c r="J10" s="17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7">
        <x:v>0</x:v>
      </x:c>
      <x:c r="J11" s="17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7">
        <x:v>2</x:v>
      </x:c>
      <x:c r="J12" s="17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7">
        <x:v>1</x:v>
      </x:c>
      <x:c r="J13" s="17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7">
        <x:v>1</x:v>
      </x:c>
      <x:c r="J14" s="17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7">
        <x:v>3</x:v>
      </x:c>
      <x:c r="J15" s="17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7">
        <x:v>2</x:v>
      </x:c>
      <x:c r="J16" s="17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7">
        <x:v>1</x:v>
      </x:c>
      <x:c r="J17" s="17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7">
        <x:v>2</x:v>
      </x:c>
      <x:c r="J18" s="17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7">
        <x:v>3</x:v>
      </x:c>
      <x:c r="J19" s="17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7">
        <x:v>2</x:v>
      </x:c>
      <x:c r="J20" s="17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7">
        <x:v>1</x:v>
      </x:c>
      <x:c r="J21" s="17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7">
        <x:v>2</x:v>
      </x:c>
      <x:c r="J22" s="17">
        <x:v>0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7">
        <x:v>2</x:v>
      </x:c>
      <x:c r="J23" s="17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7">
        <x:v>1</x:v>
      </x:c>
      <x:c r="J24" s="17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7">
        <x:v>2</x:v>
      </x:c>
      <x:c r="J25" s="17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7">
        <x:v>2</x:v>
      </x:c>
      <x:c r="J26" s="17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7">
        <x:v>3</x:v>
      </x:c>
      <x:c r="J27" s="17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7">
        <x:v>2</x:v>
      </x:c>
      <x:c r="J28" s="17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7">
        <x:v>1</x:v>
      </x:c>
      <x:c r="J29" s="17">
        <x:v>2</x:v>
      </x:c>
      <x:c r="K29" s="6" t="str">
        <x:f t="shared" si="0"/>
        <x:v>2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7">
        <x:v>0</x:v>
      </x:c>
      <x:c r="J30" s="17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7">
        <x:v>2</x:v>
      </x:c>
      <x:c r="J31" s="17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7">
        <x:v>2</x:v>
      </x:c>
      <x:c r="J32" s="17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7">
        <x:v>2</x:v>
      </x:c>
      <x:c r="J33" s="17">
        <x:v>1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7">
        <x:v>2</x:v>
      </x:c>
      <x:c r="J34" s="17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7">
        <x:v>2</x:v>
      </x:c>
      <x:c r="J35" s="17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7">
        <x:v>0</x:v>
      </x:c>
      <x:c r="J36" s="17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7">
        <x:v>4</x:v>
      </x:c>
      <x:c r="J37" s="17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7">
        <x:v>1</x:v>
      </x:c>
      <x:c r="J38" s="17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7">
        <x:v>2</x:v>
      </x:c>
      <x:c r="J39" s="17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7">
        <x:v>2</x:v>
      </x:c>
      <x:c r="J40" s="17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7">
        <x:v>3</x:v>
      </x:c>
      <x:c r="J41" s="17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7">
        <x:v>0</x:v>
      </x:c>
      <x:c r="J42" s="17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7">
        <x:v>3</x:v>
      </x:c>
      <x:c r="J43" s="17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7">
        <x:v>3</x:v>
      </x:c>
      <x:c r="J44" s="17">
        <x:v>1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7">
        <x:v>2</x:v>
      </x:c>
      <x:c r="J45" s="17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7">
        <x:v>0</x:v>
      </x:c>
      <x:c r="J46" s="17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7">
        <x:v>2</x:v>
      </x:c>
      <x:c r="J47" s="17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7">
        <x:v>3</x:v>
      </x:c>
      <x:c r="J48" s="17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7">
        <x:v>1</x:v>
      </x:c>
      <x:c r="J49" s="17">
        <x:v>1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7">
        <x:v>0</x:v>
      </x:c>
      <x:c r="J50" s="17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7">
        <x:v>2</x:v>
      </x:c>
      <x:c r="J51" s="17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7">
        <x:v>3</x:v>
      </x:c>
      <x:c r="J52" s="17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7">
        <x:v>0</x:v>
      </x:c>
      <x:c r="J53" s="17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7">
        <x:v>2</x:v>
      </x:c>
      <x:c r="J54" s="17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7">
        <x:v>1</x:v>
      </x:c>
      <x:c r="J55" s="17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7">
        <x:v>1</x:v>
      </x:c>
      <x:c r="J56" s="17">
        <x:v>1</x:v>
      </x:c>
      <x:c r="K56" s="6" t="str">
        <x:f t="shared" si="1"/>
        <x:v>X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7" t="n">
        <x:v>2</x:v>
      </x:c>
      <x:c r="J57" s="17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7" t="n">
        <x:v>1</x:v>
      </x:c>
      <x:c r="J58" s="17" t="n">
        <x:v>3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7">
        <x:v>1</x:v>
      </x:c>
      <x:c r="J59" s="17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7">
        <x:v>1</x:v>
      </x:c>
      <x:c r="J60" s="17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7">
        <x:v>0</x:v>
      </x:c>
      <x:c r="J61" s="17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7">
        <x:v>1</x:v>
      </x:c>
      <x:c r="J62" s="17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7">
        <x:v>2</x:v>
      </x:c>
      <x:c r="J63" s="17">
        <x:v>1</x:v>
      </x:c>
      <x:c r="K63" s="6" t="str">
        <x:f t="shared" si="1"/>
        <x:v>1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7">
        <x:v>0</x:v>
      </x:c>
      <x:c r="J64" s="17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7">
        <x:v>1</x:v>
      </x:c>
      <x:c r="J65" s="17">
        <x:v>2</x:v>
      </x:c>
      <x:c r="K65" s="6" t="str">
        <x:f t="shared" si="1"/>
        <x:v>2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7">
        <x:v>1</x:v>
      </x:c>
      <x:c r="J66" s="17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7">
        <x:v>1</x:v>
      </x:c>
      <x:c r="J67" s="17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7">
        <x:v>2</x:v>
      </x:c>
      <x:c r="J68" s="17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7">
        <x:v>1</x:v>
      </x:c>
      <x:c r="J69" s="17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7">
        <x:v>1</x:v>
      </x:c>
      <x:c r="J70" s="17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7">
        <x:v>1</x:v>
      </x:c>
      <x:c r="J71" s="17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7">
        <x:v>0</x:v>
      </x:c>
      <x:c r="J72" s="17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7">
        <x:v>0</x:v>
      </x:c>
      <x:c r="J73" s="17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7">
        <x:v>2</x:v>
      </x:c>
      <x:c r="J74" s="17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7">
        <x:v>1</x:v>
      </x:c>
      <x:c r="J75" s="17">
        <x:v>1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7">
        <x:v>1</x:v>
      </x:c>
      <x:c r="J76" s="17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7">
        <x:v>1</x:v>
      </x:c>
      <x:c r="J77" s="17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7">
        <x:v>0</x:v>
      </x:c>
      <x:c r="J78" s="17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7">
        <x:v>1</x:v>
      </x:c>
      <x:c r="J79" s="17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7">
        <x:v>2</x:v>
      </x:c>
      <x:c r="J80" s="17">
        <x:v>1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7">
        <x:v>2</x:v>
      </x:c>
      <x:c r="J81" s="17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7">
        <x:v>2</x:v>
      </x:c>
      <x:c r="J82" s="17">
        <x:v>1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7">
        <x:v>1</x:v>
      </x:c>
      <x:c r="J83" s="17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7">
        <x:v>2</x:v>
      </x:c>
      <x:c r="J84" s="17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7">
        <x:v>2</x:v>
      </x:c>
      <x:c r="J85" s="17">
        <x:v>0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7">
        <x:v>2</x:v>
      </x:c>
      <x:c r="J86" s="17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7">
        <x:v>2</x:v>
      </x:c>
      <x:c r="J87" s="17">
        <x:v>1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7">
        <x:v>2</x:v>
      </x:c>
      <x:c r="J88" s="17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7">
        <x:v>2</x:v>
      </x:c>
      <x:c r="J89" s="17">
        <x:v>1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7">
        <x:v>1</x:v>
      </x:c>
      <x:c r="J90" s="17">
        <x:v>2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7">
        <x:v>2</x:v>
      </x:c>
      <x:c r="J91" s="17">
        <x:v>1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7">
        <x:v>2</x:v>
      </x:c>
      <x:c r="J92" s="17">
        <x:v>1</x:v>
      </x:c>
      <x:c r="K92" s="6" t="str">
        <x:f t="shared" si="2"/>
        <x:v>1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7">
        <x:v>2</x:v>
      </x:c>
      <x:c r="J93" s="17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7">
        <x:v>3</x:v>
      </x:c>
      <x:c r="J94" s="17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7">
        <x:v>1</x:v>
      </x:c>
      <x:c r="J95" s="17">
        <x:v>2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7">
        <x:v>2</x:v>
      </x:c>
      <x:c r="J96" s="17">
        <x:v>1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7">
        <x:v>1</x:v>
      </x:c>
      <x:c r="J97" s="17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7">
        <x:v>1</x:v>
      </x:c>
      <x:c r="J98" s="17">
        <x:v>2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7">
        <x:v>2</x:v>
      </x:c>
      <x:c r="J99" s="17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7">
        <x:v>2</x:v>
      </x:c>
      <x:c r="J100" s="17">
        <x:v>1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7">
        <x:v>0</x:v>
      </x:c>
      <x:c r="J101" s="17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7">
        <x:v>1</x:v>
      </x:c>
      <x:c r="J102" s="17">
        <x:v>2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7">
        <x:v>1</x:v>
      </x:c>
      <x:c r="J103" s="17">
        <x:v>2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7">
        <x:v>2</x:v>
      </x:c>
      <x:c r="J104" s="17">
        <x:v>1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7">
        <x:v>2</x:v>
      </x:c>
      <x:c r="J105" s="17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7">
        <x:v>1</x:v>
      </x:c>
      <x:c r="J106" s="17">
        <x:v>2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7">
        <x:v>1</x:v>
      </x:c>
      <x:c r="J107" s="17">
        <x:v>2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7">
        <x:v>2</x:v>
      </x:c>
      <x:c r="J108" s="17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7">
        <x:v>2</x:v>
      </x:c>
      <x:c r="J109" s="17">
        <x:v>1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7">
        <x:v>2</x:v>
      </x:c>
      <x:c r="J110" s="17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51" priority="1">
      <x:formula>AND(I7&lt;&gt;"",J7&lt;&gt;"")</x:formula>
    </x:cfRule>
  </x:conditionalFormatting>
  <x:conditionalFormatting sqref="J7:J110">
    <x:cfRule type="expression" dxfId="50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51d0e00e8941bf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282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3</x:v>
      </x:c>
      <x:c r="J7" s="16">
        <x:v>2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2</x:v>
      </x:c>
      <x:c r="J8" s="16">
        <x:v>1</x:v>
      </x:c>
      <x:c r="K8" s="6" t="str">
        <x:f t="shared" si="0"/>
        <x:v>1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0</x:v>
      </x:c>
      <x:c r="J9" s="16">
        <x:v>1</x:v>
      </x:c>
      <x:c r="K9" s="6" t="str">
        <x:f t="shared" si="0"/>
        <x:v>2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2</x:v>
      </x:c>
      <x:c r="J10" s="16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1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0</x:v>
      </x:c>
      <x:c r="J13" s="16">
        <x:v>1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0</x:v>
      </x:c>
      <x:c r="J14" s="16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3</x:v>
      </x:c>
      <x:c r="J15" s="16">
        <x:v>1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2</x:v>
      </x:c>
      <x:c r="J16" s="16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2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3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1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0</x:v>
      </x:c>
      <x:c r="K21" s="6" t="str">
        <x:f t="shared" si="0"/>
        <x:v>1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0</x:v>
      </x:c>
      <x:c r="J22" s="16">
        <x:v>1</x:v>
      </x:c>
      <x:c r="K22" s="6" t="str">
        <x:f t="shared" si="0"/>
        <x:v>2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1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3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3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3</x:v>
      </x:c>
      <x:c r="J28" s="16">
        <x:v>0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1</x:v>
      </x:c>
      <x:c r="J29" s="16">
        <x:v>2</x:v>
      </x:c>
      <x:c r="K29" s="6" t="str">
        <x:f t="shared" si="0"/>
        <x:v>2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2</x:v>
      </x:c>
      <x:c r="J30" s="16">
        <x:v>1</x:v>
      </x:c>
      <x:c r="K30" s="6" t="str">
        <x:f t="shared" si="0"/>
        <x:v>1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1</x:v>
      </x:c>
      <x:c r="J33" s="16">
        <x:v>2</x:v>
      </x:c>
      <x:c r="K33" s="6" t="str">
        <x:f t="shared" si="0"/>
        <x:v>2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2</x:v>
      </x:c>
      <x:c r="K34" s="6" t="str">
        <x:f t="shared" si="0"/>
        <x:v>2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2</x:v>
      </x:c>
      <x:c r="J35" s="16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1</x:v>
      </x:c>
      <x:c r="J36" s="16">
        <x:v>0</x:v>
      </x:c>
      <x:c r="K36" s="6" t="str">
        <x:f t="shared" si="0"/>
        <x:v>1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2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1</x:v>
      </x:c>
      <x:c r="J38" s="16">
        <x:v>0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3</x:v>
      </x:c>
      <x:c r="J39" s="16">
        <x:v>2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3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1</x:v>
      </x:c>
      <x:c r="J41" s="16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1</x:v>
      </x:c>
      <x:c r="J42" s="16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2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1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0</x:v>
      </x:c>
      <x:c r="J45" s="16">
        <x:v>1</x:v>
      </x:c>
      <x:c r="K45" s="6" t="str">
        <x:f t="shared" si="1"/>
        <x:v>2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2</x:v>
      </x:c>
      <x:c r="J46" s="16">
        <x:v>0</x:v>
      </x:c>
      <x:c r="K46" s="6" t="str">
        <x:f t="shared" si="1"/>
        <x:v>1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3</x:v>
      </x:c>
      <x:c r="J47" s="16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0</x:v>
      </x:c>
      <x:c r="K50" s="6" t="str">
        <x:f t="shared" si="1"/>
        <x:v>1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3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3</x:v>
      </x:c>
      <x:c r="J52" s="16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1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2</x:v>
      </x:c>
      <x:c r="J54" s="16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2</x:v>
      </x:c>
      <x:c r="J55" s="16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1</x:v>
      </x:c>
      <x:c r="J56" s="16">
        <x:v>2</x:v>
      </x:c>
      <x:c r="K56" s="6" t="str">
        <x:f t="shared" si="1"/>
        <x:v>2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1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3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2</x:v>
      </x:c>
      <x:c r="J60" s="16">
        <x:v>1</x:v>
      </x:c>
      <x:c r="K60" s="6" t="str">
        <x:f t="shared" si="1"/>
        <x:v>1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1</x:v>
      </x:c>
      <x:c r="J61" s="16">
        <x:v>0</x:v>
      </x:c>
      <x:c r="K61" s="6" t="str">
        <x:f t="shared" si="1"/>
        <x:v>1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3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2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1</x:v>
      </x:c>
      <x:c r="J64" s="16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2</x:v>
      </x:c>
      <x:c r="J65" s="16">
        <x:v>1</x:v>
      </x:c>
      <x:c r="K65" s="6" t="str">
        <x:f t="shared" si="1"/>
        <x:v>1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2</x:v>
      </x:c>
      <x:c r="K66" s="6" t="str">
        <x:f t="shared" si="1"/>
        <x:v>2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0</x:v>
      </x:c>
      <x:c r="J67" s="16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1</x:v>
      </x:c>
      <x:c r="J69" s="16">
        <x:v>2</x:v>
      </x:c>
      <x:c r="K69" s="6" t="str">
        <x:f t="shared" si="1"/>
        <x:v>2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0</x:v>
      </x:c>
      <x:c r="J70" s="16">
        <x:v>3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0</x:v>
      </x:c>
      <x:c r="J71" s="16">
        <x:v>1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0</x:v>
      </x:c>
      <x:c r="J72" s="16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1</x:v>
      </x:c>
      <x:c r="J74" s="16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1</x:v>
      </x:c>
      <x:c r="J75" s="16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0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0</x:v>
      </x:c>
      <x:c r="J77" s="16">
        <x:v>1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1</x:v>
      </x:c>
      <x:c r="J78" s="16">
        <x:v>2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2</x:v>
      </x:c>
      <x:c r="J79" s="16">
        <x:v>1</x:v>
      </x:c>
      <x:c r="K79" s="6" t="str">
        <x:f t="shared" si="2"/>
        <x:v>1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1</x:v>
      </x:c>
      <x:c r="J80" s="16">
        <x:v>3</x:v>
      </x:c>
      <x:c r="K80" s="6" t="str">
        <x:f t="shared" si="2"/>
        <x:v>2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2</x:v>
      </x:c>
      <x:c r="J81" s="16">
        <x:v>1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3</x:v>
      </x:c>
      <x:c r="J82" s="16">
        <x:v>2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1</x:v>
      </x:c>
      <x:c r="J83" s="16">
        <x:v>0</x:v>
      </x:c>
      <x:c r="K83" s="6" t="str">
        <x:f t="shared" si="2"/>
        <x:v>1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0</x:v>
      </x:c>
      <x:c r="J84" s="16">
        <x:v>1</x:v>
      </x:c>
      <x:c r="K84" s="6" t="str">
        <x:f t="shared" si="2"/>
        <x:v>2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2</x:v>
      </x:c>
      <x:c r="J85" s="16">
        <x:v>0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1</x:v>
      </x:c>
      <x:c r="J86" s="16">
        <x:v>3</x:v>
      </x:c>
      <x:c r="K86" s="6" t="str">
        <x:f t="shared" si="2"/>
        <x:v>2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2</x:v>
      </x:c>
      <x:c r="J87" s="16">
        <x:v>1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0</x:v>
      </x:c>
      <x:c r="J88" s="16">
        <x:v>2</x:v>
      </x:c>
      <x:c r="K88" s="6" t="str">
        <x:f t="shared" si="2"/>
        <x:v>2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1</x:v>
      </x:c>
      <x:c r="J89" s="16">
        <x:v>2</x:v>
      </x:c>
      <x:c r="K89" s="6" t="str">
        <x:f t="shared" si="2"/>
        <x:v>2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2</x:v>
      </x:c>
      <x:c r="J90" s="16">
        <x:v>1</x:v>
      </x:c>
      <x:c r="K90" s="6" t="str">
        <x:f t="shared" si="2"/>
        <x:v>1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1</x:v>
      </x:c>
      <x:c r="J91" s="16">
        <x:v>0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3</x:v>
      </x:c>
      <x:c r="J92" s="16">
        <x:v>1</x:v>
      </x:c>
      <x:c r="K92" s="6" t="str">
        <x:f t="shared" si="2"/>
        <x:v>1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2</x:v>
      </x:c>
      <x:c r="J93" s="16">
        <x:v>3</x:v>
      </x:c>
      <x:c r="K93" s="6" t="str">
        <x:f t="shared" si="2"/>
        <x:v>2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1</x:v>
      </x:c>
      <x:c r="J94" s="16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2</x:v>
      </x:c>
      <x:c r="J95" s="16">
        <x:v>0</x:v>
      </x:c>
      <x:c r="K95" s="6" t="str">
        <x:f t="shared" si="2"/>
        <x:v>1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2</x:v>
      </x:c>
      <x:c r="K96" s="6" t="str">
        <x:f t="shared" si="2"/>
        <x:v>2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0</x:v>
      </x:c>
      <x:c r="J97" s="16">
        <x:v>1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2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1</x:v>
      </x:c>
      <x:c r="J99" s="16">
        <x:v>0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2</x:v>
      </x:c>
      <x:c r="J100" s="16">
        <x:v>1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3</x:v>
      </x:c>
      <x:c r="J101" s="16">
        <x:v>1</x:v>
      </x:c>
      <x:c r="K101" s="6" t="str">
        <x:f t="shared" si="2"/>
        <x:v>1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2</x:v>
      </x:c>
      <x:c r="J102" s="16">
        <x:v>3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1</x:v>
      </x:c>
      <x:c r="J103" s="16">
        <x:v>2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2</x:v>
      </x:c>
      <x:c r="J104" s="16">
        <x:v>0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2</x:v>
      </x:c>
      <x:c r="J105" s="16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1</x:v>
      </x:c>
      <x:c r="J106" s="16">
        <x:v>3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2</x:v>
      </x:c>
      <x:c r="J107" s="16">
        <x:v>1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2</x:v>
      </x:c>
      <x:c r="J108" s="16">
        <x:v>3</x:v>
      </x:c>
      <x:c r="K108" s="6" t="str">
        <x:f t="shared" si="3"/>
        <x:v>2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0</x:v>
      </x:c>
      <x:c r="J109" s="16">
        <x:v>2</x:v>
      </x:c>
      <x:c r="K109" s="6" t="str">
        <x:f t="shared" si="3"/>
        <x:v>2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1</x:v>
      </x:c>
      <x:c r="J110" s="16">
        <x:v>3</x:v>
      </x:c>
      <x:c r="K110" s="6" t="str">
        <x:f t="shared" si="3"/>
        <x:v>2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47" priority="1">
      <x:formula>AND(I7&lt;&gt;"",J7&lt;&gt;"")</x:formula>
    </x:cfRule>
  </x:conditionalFormatting>
  <x:conditionalFormatting sqref="J7:J110">
    <x:cfRule type="expression" dxfId="46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af970b81afa4e4e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283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0</x:v>
      </x:c>
      <x:c r="J8" s="16">
        <x:v>1</x:v>
      </x:c>
      <x:c r="K8" s="6" t="str">
        <x:f t="shared" si="0"/>
        <x:v>2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1</x:v>
      </x:c>
      <x:c r="J9" s="16">
        <x:v>1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2</x:v>
      </x:c>
      <x:c r="J10" s="16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0</x:v>
      </x:c>
      <x:c r="J13" s="16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1</x:v>
      </x:c>
      <x:c r="K14" s="6" t="str">
        <x:f t="shared" si="0"/>
        <x:v>X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2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1</x:v>
      </x:c>
      <x:c r="J16" s="16">
        <x:v>2</x:v>
      </x:c>
      <x:c r="K16" s="6" t="str">
        <x:f t="shared" si="0"/>
        <x:v>2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3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2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2</x:v>
      </x:c>
      <x:c r="J22" s="16">
        <x:v>0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3</x:v>
      </x:c>
      <x:c r="J23" s="16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1</x:v>
      </x:c>
      <x:c r="J24" s="16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2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3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1</x:v>
      </x:c>
      <x:c r="J28" s="16">
        <x:v>1</x:v>
      </x:c>
      <x:c r="K28" s="6" t="str">
        <x:f t="shared" si="0"/>
        <x:v>X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2</x:v>
      </x:c>
      <x:c r="J29" s="16">
        <x:v>1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1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2</x:v>
      </x:c>
      <x:c r="K31" s="6" t="str">
        <x:f t="shared" si="0"/>
        <x:v>X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0</x:v>
      </x:c>
      <x:c r="J33" s="16">
        <x:v>0</x:v>
      </x:c>
      <x:c r="K33" s="6" t="str">
        <x:f t="shared" si="0"/>
        <x:v>X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1</x:v>
      </x:c>
      <x:c r="K34" s="6" t="str">
        <x:f t="shared" si="0"/>
        <x:v>X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1</x:v>
      </x:c>
      <x:c r="J35" s="16">
        <x:v>1</x:v>
      </x:c>
      <x:c r="K35" s="6" t="str">
        <x:f t="shared" si="0"/>
        <x:v>X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0</x:v>
      </x:c>
      <x:c r="J36" s="16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2</x:v>
      </x:c>
      <x:c r="J38" s="16">
        <x:v>1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1</x:v>
      </x:c>
      <x:c r="J39" s="16">
        <x:v>1</x:v>
      </x:c>
      <x:c r="K39" s="6" t="str">
        <x:f t="shared" ref="K39:K70" si="1">IF(OR(I39="",J39=""),"",IF(I39&gt;J39,"1",IF(I39=J39,"X","2")))</x:f>
        <x:v>X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2</x:v>
      </x:c>
      <x:c r="J40" s="16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1</x:v>
      </x:c>
      <x:c r="J41" s="16">
        <x:v>1</x:v>
      </x:c>
      <x:c r="K41" s="6" t="str">
        <x:f t="shared" si="1"/>
        <x:v>X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1</x:v>
      </x:c>
      <x:c r="J42" s="16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2</x:v>
      </x:c>
      <x:c r="J43" s="16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1</x:v>
      </x:c>
      <x:c r="J44" s="16">
        <x:v>1</x:v>
      </x:c>
      <x:c r="K44" s="6" t="str">
        <x:f t="shared" si="1"/>
        <x:v>X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0</x:v>
      </x:c>
      <x:c r="J46" s="16">
        <x:v>1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1</x:v>
      </x:c>
      <x:c r="J47" s="16">
        <x:v>1</x:v>
      </x:c>
      <x:c r="K47" s="6" t="str">
        <x:f t="shared" si="1"/>
        <x:v>X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2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3</x:v>
      </x:c>
      <x:c r="J51" s="16">
        <x:v>1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1</x:v>
      </x:c>
      <x:c r="J52" s="16">
        <x:v>1</x:v>
      </x:c>
      <x:c r="K52" s="6" t="str">
        <x:f t="shared" si="1"/>
        <x:v>X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3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1</x:v>
      </x:c>
      <x:c r="J54" s="16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2</x:v>
      </x:c>
      <x:c r="J55" s="16">
        <x:v>0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0</x:v>
      </x:c>
      <x:c r="J56" s="16">
        <x:v>0</x:v>
      </x:c>
      <x:c r="K56" s="6" t="str">
        <x:f t="shared" si="1"/>
        <x:v>X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2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3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1</x:v>
      </x:c>
      <x:c r="J60" s="16">
        <x:v>1</x:v>
      </x:c>
      <x:c r="K60" s="6" t="str">
        <x:f t="shared" si="1"/>
        <x:v>X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1</x:v>
      </x:c>
      <x:c r="J61" s="16">
        <x:v>1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2</x:v>
      </x:c>
      <x:c r="J62" s="16">
        <x:v>1</x:v>
      </x:c>
      <x:c r="K62" s="6" t="str">
        <x:f t="shared" si="1"/>
        <x:v>1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2</x:v>
      </x:c>
      <x:c r="J63" s="16">
        <x:v>2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2</x:v>
      </x:c>
      <x:c r="J64" s="16">
        <x:v>2</x:v>
      </x:c>
      <x:c r="K64" s="6" t="str">
        <x:f t="shared" si="1"/>
        <x:v>X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3</x:v>
      </x:c>
      <x:c r="J65" s="16">
        <x:v>1</x:v>
      </x:c>
      <x:c r="K65" s="6" t="str">
        <x:f t="shared" si="1"/>
        <x:v>1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2</x:v>
      </x:c>
      <x:c r="J66" s="16">
        <x:v>1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2</x:v>
      </x:c>
      <x:c r="J67" s="16">
        <x:v>1</x:v>
      </x:c>
      <x:c r="K67" s="6" t="str">
        <x:f t="shared" si="1"/>
        <x:v>1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1</x:v>
      </x:c>
      <x:c r="K68" s="6" t="str">
        <x:f t="shared" si="1"/>
        <x:v>X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0</x:v>
      </x:c>
      <x:c r="J69" s="16">
        <x:v>2</x:v>
      </x:c>
      <x:c r="K69" s="6" t="str">
        <x:f t="shared" si="1"/>
        <x:v>2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0</x:v>
      </x:c>
      <x:c r="J71" s="16">
        <x:v>0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0</x:v>
      </x:c>
      <x:c r="J72" s="16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2</x:v>
      </x:c>
      <x:c r="J75" s="16">
        <x:v>2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1</x:v>
      </x:c>
      <x:c r="J77" s="16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2</x:v>
      </x:c>
      <x:c r="J79" s="16">
        <x:v>1</x:v>
      </x:c>
      <x:c r="K79" s="6" t="str">
        <x:f t="shared" si="2"/>
        <x:v>1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1</x:v>
      </x:c>
      <x:c r="J80" s="16">
        <x:v>2</x:v>
      </x:c>
      <x:c r="K80" s="6" t="str">
        <x:f t="shared" si="2"/>
        <x:v>2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1</x:v>
      </x:c>
      <x:c r="J81" s="16">
        <x:v>1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2</x:v>
      </x:c>
      <x:c r="J82" s="16">
        <x:v>0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1</x:v>
      </x:c>
      <x:c r="J84" s="16">
        <x:v>1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1</x:v>
      </x:c>
      <x:c r="J85" s="16">
        <x:v>2</x:v>
      </x:c>
      <x:c r="K85" s="6" t="str">
        <x:f t="shared" si="2"/>
        <x:v>2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2</x:v>
      </x:c>
      <x:c r="J86" s="16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0</x:v>
      </x:c>
      <x:c r="J87" s="16">
        <x:v>1</x:v>
      </x:c>
      <x:c r="K87" s="6" t="str">
        <x:f t="shared" si="2"/>
        <x:v>2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1</x:v>
      </x:c>
      <x:c r="J88" s="16">
        <x:v>0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3</x:v>
      </x:c>
      <x:c r="J89" s="16">
        <x:v>1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2</x:v>
      </x:c>
      <x:c r="J90" s="16">
        <x:v>1</x:v>
      </x:c>
      <x:c r="K90" s="6" t="str">
        <x:f t="shared" si="2"/>
        <x:v>1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1</x:v>
      </x:c>
      <x:c r="J91" s="16">
        <x:v>2</x:v>
      </x:c>
      <x:c r="K91" s="6" t="str">
        <x:f t="shared" si="2"/>
        <x:v>2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0</x:v>
      </x:c>
      <x:c r="J92" s="16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1</x:v>
      </x:c>
      <x:c r="J93" s="16">
        <x:v>0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0</x:v>
      </x:c>
      <x:c r="J94" s="16">
        <x:v>1</x:v>
      </x:c>
      <x:c r="K94" s="6" t="str">
        <x:f t="shared" si="2"/>
        <x:v>2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2</x:v>
      </x:c>
      <x:c r="J95" s="16">
        <x:v>0</x:v>
      </x:c>
      <x:c r="K95" s="6" t="str">
        <x:f t="shared" si="2"/>
        <x:v>1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2</x:v>
      </x:c>
      <x:c r="K96" s="6" t="str">
        <x:f t="shared" si="2"/>
        <x:v>2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3</x:v>
      </x:c>
      <x:c r="J97" s="16">
        <x:v>1</x:v>
      </x:c>
      <x:c r="K97" s="6" t="str">
        <x:f t="shared" si="2"/>
        <x:v>1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1</x:v>
      </x:c>
      <x:c r="J98" s="16">
        <x:v>1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1</x:v>
      </x:c>
      <x:c r="J99" s="16">
        <x:v>2</x:v>
      </x:c>
      <x:c r="K99" s="6" t="str">
        <x:f t="shared" si="2"/>
        <x:v>2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2</x:v>
      </x:c>
      <x:c r="J100" s="16">
        <x:v>2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0</x:v>
      </x:c>
      <x:c r="J101" s="16">
        <x:v>1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3</x:v>
      </x:c>
      <x:c r="J102" s="16">
        <x:v>0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2</x:v>
      </x:c>
      <x:c r="J103" s="16">
        <x:v>1</x:v>
      </x:c>
      <x:c r="K103" s="6" t="str">
        <x:f t="shared" ref="K103:K110" si="3">IF(OR(I103="",J103=""),"",IF(I103&gt;J103,"1",IF(I103=J103,"X","2")))</x:f>
        <x:v>1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1</x:v>
      </x:c>
      <x:c r="J104" s="16">
        <x:v>1</x:v>
      </x:c>
      <x:c r="K104" s="6" t="str">
        <x:f t="shared" si="3"/>
        <x:v>X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0</x:v>
      </x:c>
      <x:c r="J105" s="16">
        <x:v>1</x:v>
      </x:c>
      <x:c r="K105" s="6" t="str">
        <x:f t="shared" si="3"/>
        <x:v>2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1</x:v>
      </x:c>
      <x:c r="J106" s="16">
        <x:v>1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3</x:v>
      </x:c>
      <x:c r="J107" s="16">
        <x:v>1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1</x:v>
      </x:c>
      <x:c r="J108" s="16">
        <x:v>2</x:v>
      </x:c>
      <x:c r="K108" s="6" t="str">
        <x:f t="shared" si="3"/>
        <x:v>2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1</x:v>
      </x:c>
      <x:c r="J109" s="16">
        <x:v>0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2</x:v>
      </x:c>
      <x:c r="J110" s="16">
        <x:v>2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43" priority="1">
      <x:formula>AND(I7&lt;&gt;"",J7&lt;&gt;"")</x:formula>
    </x:cfRule>
  </x:conditionalFormatting>
  <x:conditionalFormatting sqref="J7:J110">
    <x:cfRule type="expression" dxfId="42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0a92e4881a42c2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284</x:v>
      </x:c>
      <x:c r="C2" s="31"/>
      <x:c r="D2" s="31"/>
      <x:c r="F2" s="2" t="s">
        <x:v>271</x:v>
      </x:c>
      <x:c r="G2" s="7" t="n">
        <x:f>SUM(L7:L110)</x:f>
        <x:v>3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1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3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0</x:v>
      </x:c>
      <x:c r="J8" s="16">
        <x:v>1</x:v>
      </x:c>
      <x:c r="K8" s="6" t="str">
        <x:f t="shared" si="0"/>
        <x:v>2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1</x:v>
      </x:c>
      <x:c r="J9" s="16">
        <x:v>1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1</x:v>
      </x:c>
      <x:c r="K10" s="6" t="str">
        <x:f t="shared" si="0"/>
        <x:v>X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2</x:v>
      </x:c>
      <x:c r="J12" s="16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0</x:v>
      </x:c>
      <x:c r="J13" s="16">
        <x:v>0</x:v>
      </x:c>
      <x:c r="K13" s="6" t="str">
        <x:f t="shared" si="0"/>
        <x:v>X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4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2</x:v>
      </x:c>
      <x:c r="J16" s="16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0</x:v>
      </x:c>
      <x:c r="J17" s="16">
        <x:v>1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1</x:v>
      </x:c>
      <x:c r="J18" s="16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3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2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1</x:v>
      </x:c>
      <x:c r="K21" s="6" t="str">
        <x:f t="shared" si="0"/>
        <x:v>X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1</x:v>
      </x:c>
      <x:c r="J22" s="16">
        <x:v>1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2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1</x:v>
      </x:c>
      <x:c r="J28" s="16">
        <x:v>1</x:v>
      </x:c>
      <x:c r="K28" s="6" t="str">
        <x:f t="shared" si="0"/>
        <x:v>X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1</x:v>
      </x:c>
      <x:c r="J29" s="16">
        <x:v>1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1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1</x:v>
      </x:c>
      <x:c r="J31" s="16">
        <x:v>1</x:v>
      </x:c>
      <x:c r="K31" s="6" t="str">
        <x:f t="shared" si="0"/>
        <x:v>X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1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0</x:v>
      </x:c>
      <x:c r="J33" s="16">
        <x:v>1</x:v>
      </x:c>
      <x:c r="K33" s="6" t="str">
        <x:f t="shared" si="0"/>
        <x:v>2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0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1</x:v>
      </x:c>
      <x:c r="J35" s="16">
        <x:v>1</x:v>
      </x:c>
      <x:c r="K35" s="6" t="str">
        <x:f t="shared" si="0"/>
        <x:v>X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0</x:v>
      </x:c>
      <x:c r="J36" s="16">
        <x:v>0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1</x:v>
      </x:c>
      <x:c r="J38" s="16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3</x:v>
      </x:c>
      <x:c r="J39" s="16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3</x:v>
      </x:c>
      <x:c r="J40" s="16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2</x:v>
      </x:c>
      <x:c r="J41" s="16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0</x:v>
      </x:c>
      <x:c r="J42" s="16">
        <x:v>1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2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2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0</x:v>
      </x:c>
      <x:c r="J46" s="16">
        <x:v>0</x:v>
      </x:c>
      <x:c r="K46" s="6" t="str">
        <x:f t="shared" si="1"/>
        <x:v>X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2</x:v>
      </x:c>
      <x:c r="J47" s="16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0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1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2</x:v>
      </x:c>
      <x:c r="J52" s="16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2</x:v>
      </x:c>
      <x:c r="J54" s="16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1</x:v>
      </x:c>
      <x:c r="J55" s="16">
        <x:v>0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1</x:v>
      </x:c>
      <x:c r="J56" s="16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1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0</x:v>
      </x:c>
      <x:c r="J58" s="16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1</x:v>
      </x:c>
      <x:c r="J60" s="16">
        <x:v>1</x:v>
      </x:c>
      <x:c r="K60" s="6" t="str">
        <x:f t="shared" si="1"/>
        <x:v>X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2</x:v>
      </x:c>
      <x:c r="J61" s="16">
        <x:v>2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0</x:v>
      </x:c>
      <x:c r="J64" s="16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1</x:v>
      </x:c>
      <x:c r="J67" s="16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1</x:v>
      </x:c>
      <x:c r="K68" s="6" t="str">
        <x:f t="shared" si="1"/>
        <x:v>X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0</x:v>
      </x:c>
      <x:c r="J69" s="16">
        <x:v>1</x:v>
      </x:c>
      <x:c r="K69" s="6" t="str">
        <x:f t="shared" si="1"/>
        <x:v>2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1</x:v>
      </x:c>
      <x:c r="J71" s="16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0</x:v>
      </x:c>
      <x:c r="J72" s="16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1</x:v>
      </x:c>
      <x:c r="J74" s="16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0</x:v>
      </x:c>
      <x:c r="J75" s="16">
        <x:v>1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0</x:v>
      </x:c>
      <x:c r="J77" s="16">
        <x:v>1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2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1</x:v>
      </x:c>
      <x:c r="J79" s="16">
        <x:v>1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2</x:v>
      </x:c>
      <x:c r="J80" s="16">
        <x:v>0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3</x:v>
      </x:c>
      <x:c r="J81" s="16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1</x:v>
      </x:c>
      <x:c r="J82" s="16">
        <x:v>0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1</x:v>
      </x:c>
      <x:c r="J83" s="16">
        <x:v>1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2</x:v>
      </x:c>
      <x:c r="J84" s="16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2</x:v>
      </x:c>
      <x:c r="J85" s="16">
        <x:v>0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2</x:v>
      </x:c>
      <x:c r="J86" s="16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2</x:v>
      </x:c>
      <x:c r="J87" s="16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2</x:v>
      </x:c>
      <x:c r="J88" s="16">
        <x:v>0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2</x:v>
      </x:c>
      <x:c r="J89" s="16">
        <x:v>0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1</x:v>
      </x:c>
      <x:c r="J90" s="16">
        <x:v>1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2</x:v>
      </x:c>
      <x:c r="J91" s="16">
        <x:v>0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1</x:v>
      </x:c>
      <x:c r="J92" s="16">
        <x:v>1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2</x:v>
      </x:c>
      <x:c r="J93" s="16">
        <x:v>0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3</x:v>
      </x:c>
      <x:c r="J94" s="16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1</x:v>
      </x:c>
      <x:c r="J95" s="16">
        <x:v>0</x:v>
      </x:c>
      <x:c r="K95" s="6" t="str">
        <x:f t="shared" si="2"/>
        <x:v>1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1</x:v>
      </x:c>
      <x:c r="J96" s="16">
        <x:v>0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1</x:v>
      </x:c>
      <x:c r="J97" s="16">
        <x:v>0</x:v>
      </x:c>
      <x:c r="K97" s="6" t="str">
        <x:f t="shared" si="2"/>
        <x:v>1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1</x:v>
      </x:c>
      <x:c r="J98" s="16">
        <x:v>0</x:v>
      </x:c>
      <x:c r="K98" s="6" t="str">
        <x:f t="shared" si="2"/>
        <x:v>1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1</x:v>
      </x:c>
      <x:c r="J99" s="16">
        <x:v>0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1</x:v>
      </x:c>
      <x:c r="J100" s="16">
        <x:v>0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1</x:v>
      </x:c>
      <x:c r="J101" s="16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1</x:v>
      </x:c>
      <x:c r="J102" s="16">
        <x:v>0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2</x:v>
      </x:c>
      <x:c r="J103" s="16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1</x:v>
      </x:c>
      <x:c r="J104" s="16">
        <x:v>0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1</x:v>
      </x:c>
      <x:c r="J105" s="16">
        <x:v>2</x:v>
      </x:c>
      <x:c r="K105" s="6" t="str">
        <x:f t="shared" si="3"/>
        <x:v>2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2</x:v>
      </x:c>
      <x:c r="J106" s="16">
        <x:v>1</x:v>
      </x:c>
      <x:c r="K106" s="6" t="str">
        <x:f t="shared" si="3"/>
        <x:v>1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1</x:v>
      </x:c>
      <x:c r="J107" s="16">
        <x:v>0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2</x:v>
      </x:c>
      <x:c r="J108" s="16">
        <x:v>0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1</x:v>
      </x:c>
      <x:c r="J109" s="16">
        <x:v>1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2</x:v>
      </x:c>
      <x:c r="J110" s="16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39" priority="1">
      <x:formula>AND(I7&lt;&gt;"",J7&lt;&gt;"")</x:formula>
    </x:cfRule>
  </x:conditionalFormatting>
  <x:conditionalFormatting sqref="J7:J110">
    <x:cfRule type="expression" dxfId="38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d859031ccdd4612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285</x:v>
      </x:c>
      <x:c r="C2" s="31"/>
      <x:c r="D2" s="31"/>
      <x:c r="F2" s="2" t="s">
        <x:v>271</x:v>
      </x:c>
      <x:c r="G2" s="7" t="n">
        <x:f>SUM(L7:L110)</x:f>
        <x:v>3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1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9">
        <x:v>2</x:v>
      </x:c>
      <x:c r="J7" s="19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3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9">
        <x:v>1</x:v>
      </x:c>
      <x:c r="J8" s="19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9">
        <x:v>1</x:v>
      </x:c>
      <x:c r="J9" s="19">
        <x:v>1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9">
        <x:v>2</x:v>
      </x:c>
      <x:c r="J10" s="19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9">
        <x:v>0</x:v>
      </x:c>
      <x:c r="J11" s="19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9">
        <x:v>2</x:v>
      </x:c>
      <x:c r="J12" s="19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9">
        <x:v>0</x:v>
      </x:c>
      <x:c r="J13" s="19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9">
        <x:v>1</x:v>
      </x:c>
      <x:c r="J14" s="19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9">
        <x:v>3</x:v>
      </x:c>
      <x:c r="J15" s="19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9">
        <x:v>2</x:v>
      </x:c>
      <x:c r="J16" s="19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9">
        <x:v>1</x:v>
      </x:c>
      <x:c r="J17" s="19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9">
        <x:v>2</x:v>
      </x:c>
      <x:c r="J18" s="19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9">
        <x:v>3</x:v>
      </x:c>
      <x:c r="J19" s="19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9">
        <x:v>2</x:v>
      </x:c>
      <x:c r="J20" s="19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9">
        <x:v>0</x:v>
      </x:c>
      <x:c r="J21" s="19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9">
        <x:v>2</x:v>
      </x:c>
      <x:c r="J22" s="19">
        <x:v>0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9">
        <x:v>2</x:v>
      </x:c>
      <x:c r="J23" s="19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9">
        <x:v>0</x:v>
      </x:c>
      <x:c r="J24" s="19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9">
        <x:v>2</x:v>
      </x:c>
      <x:c r="J25" s="19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9">
        <x:v>2</x:v>
      </x:c>
      <x:c r="J26" s="19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9">
        <x:v>3</x:v>
      </x:c>
      <x:c r="J27" s="19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9">
        <x:v>2</x:v>
      </x:c>
      <x:c r="J28" s="19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9">
        <x:v>2</x:v>
      </x:c>
      <x:c r="J29" s="19">
        <x:v>1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9">
        <x:v>0</x:v>
      </x:c>
      <x:c r="J30" s="19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9">
        <x:v>2</x:v>
      </x:c>
      <x:c r="J31" s="19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9">
        <x:v>2</x:v>
      </x:c>
      <x:c r="J32" s="19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9">
        <x:v>2</x:v>
      </x:c>
      <x:c r="J33" s="19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9">
        <x:v>2</x:v>
      </x:c>
      <x:c r="J34" s="19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9">
        <x:v>2</x:v>
      </x:c>
      <x:c r="J35" s="19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9">
        <x:v>1</x:v>
      </x:c>
      <x:c r="J36" s="19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9">
        <x:v>3</x:v>
      </x:c>
      <x:c r="J37" s="19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9">
        <x:v>1</x:v>
      </x:c>
      <x:c r="J38" s="19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9">
        <x:v>2</x:v>
      </x:c>
      <x:c r="J39" s="19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9">
        <x:v>2</x:v>
      </x:c>
      <x:c r="J40" s="19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9">
        <x:v>3</x:v>
      </x:c>
      <x:c r="J41" s="19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9">
        <x:v>0</x:v>
      </x:c>
      <x:c r="J42" s="19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9">
        <x:v>2</x:v>
      </x:c>
      <x:c r="J43" s="19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9">
        <x:v>2</x:v>
      </x:c>
      <x:c r="J44" s="19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9">
        <x:v>2</x:v>
      </x:c>
      <x:c r="J45" s="19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9">
        <x:v>0</x:v>
      </x:c>
      <x:c r="J46" s="19">
        <x:v>1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9">
        <x:v>2</x:v>
      </x:c>
      <x:c r="J47" s="19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9">
        <x:v>3</x:v>
      </x:c>
      <x:c r="J48" s="19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9">
        <x:v>1</x:v>
      </x:c>
      <x:c r="J49" s="19">
        <x:v>1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9">
        <x:v>0</x:v>
      </x:c>
      <x:c r="J50" s="19">
        <x:v>1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9">
        <x:v>2</x:v>
      </x:c>
      <x:c r="J51" s="19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9">
        <x:v>2</x:v>
      </x:c>
      <x:c r="J52" s="19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9">
        <x:v>0</x:v>
      </x:c>
      <x:c r="J53" s="19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9">
        <x:v>2</x:v>
      </x:c>
      <x:c r="J54" s="19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9">
        <x:v>1</x:v>
      </x:c>
      <x:c r="J55" s="19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9">
        <x:v>2</x:v>
      </x:c>
      <x:c r="J56" s="19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9" t="n">
        <x:v>3</x:v>
      </x:c>
      <x:c r="J57" s="19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9" t="n">
        <x:v>0</x:v>
      </x:c>
      <x:c r="J58" s="19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9">
        <x:v>1</x:v>
      </x:c>
      <x:c r="J59" s="19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9">
        <x:v>0</x:v>
      </x:c>
      <x:c r="J60" s="19">
        <x:v>1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9">
        <x:v>0</x:v>
      </x:c>
      <x:c r="J61" s="19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9">
        <x:v>1</x:v>
      </x:c>
      <x:c r="J62" s="19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9">
        <x:v>1</x:v>
      </x:c>
      <x:c r="J63" s="19">
        <x:v>2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9">
        <x:v>0</x:v>
      </x:c>
      <x:c r="J64" s="19">
        <x:v>3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9">
        <x:v>1</x:v>
      </x:c>
      <x:c r="J65" s="19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9">
        <x:v>1</x:v>
      </x:c>
      <x:c r="J66" s="19">
        <x:v>0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9">
        <x:v>1</x:v>
      </x:c>
      <x:c r="J67" s="19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9">
        <x:v>2</x:v>
      </x:c>
      <x:c r="J68" s="19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9">
        <x:v>1</x:v>
      </x:c>
      <x:c r="J69" s="19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9">
        <x:v>1</x:v>
      </x:c>
      <x:c r="J70" s="19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9">
        <x:v>2</x:v>
      </x:c>
      <x:c r="J71" s="19">
        <x:v>1</x:v>
      </x:c>
      <x:c r="K71" s="6" t="str">
        <x:f t="shared" ref="K71:K102" si="2">IF(OR(I71="",J71=""),"",IF(I71&gt;J71,"1",IF(I71=J71,"X","2")))</x:f>
        <x:v>1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9">
        <x:v>0</x:v>
      </x:c>
      <x:c r="J72" s="19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9">
        <x:v>0</x:v>
      </x:c>
      <x:c r="J73" s="19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9">
        <x:v>1</x:v>
      </x:c>
      <x:c r="J74" s="19">
        <x:v>1</x:v>
      </x:c>
      <x:c r="K74" s="6" t="str">
        <x:f t="shared" si="2"/>
        <x:v>X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9">
        <x:v>1</x:v>
      </x:c>
      <x:c r="J75" s="19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9">
        <x:v>2</x:v>
      </x:c>
      <x:c r="J76" s="19">
        <x:v>1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9">
        <x:v>1</x:v>
      </x:c>
      <x:c r="J77" s="19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9">
        <x:v>0</x:v>
      </x:c>
      <x:c r="J78" s="19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9">
        <x:v>1</x:v>
      </x:c>
      <x:c r="J79" s="19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9">
        <x:v>2</x:v>
      </x:c>
      <x:c r="J80" s="19">
        <x:v>0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9">
        <x:v>2</x:v>
      </x:c>
      <x:c r="J81" s="19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9">
        <x:v>2</x:v>
      </x:c>
      <x:c r="J82" s="19">
        <x:v>1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9">
        <x:v>1</x:v>
      </x:c>
      <x:c r="J83" s="19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9">
        <x:v>3</x:v>
      </x:c>
      <x:c r="J84" s="19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9">
        <x:v>2</x:v>
      </x:c>
      <x:c r="J85" s="19">
        <x:v>1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9">
        <x:v>2</x:v>
      </x:c>
      <x:c r="J86" s="19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9">
        <x:v>2</x:v>
      </x:c>
      <x:c r="J87" s="19">
        <x:v>1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9">
        <x:v>2</x:v>
      </x:c>
      <x:c r="J88" s="19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9">
        <x:v>2</x:v>
      </x:c>
      <x:c r="J89" s="19">
        <x:v>0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9">
        <x:v>1</x:v>
      </x:c>
      <x:c r="J90" s="19">
        <x:v>2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9">
        <x:v>2</x:v>
      </x:c>
      <x:c r="J91" s="19">
        <x:v>1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9">
        <x:v>2</x:v>
      </x:c>
      <x:c r="J92" s="19">
        <x:v>1</x:v>
      </x:c>
      <x:c r="K92" s="6" t="str">
        <x:f t="shared" si="2"/>
        <x:v>1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9">
        <x:v>2</x:v>
      </x:c>
      <x:c r="J93" s="19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9">
        <x:v>2</x:v>
      </x:c>
      <x:c r="J94" s="19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9">
        <x:v>1</x:v>
      </x:c>
      <x:c r="J95" s="19">
        <x:v>2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9">
        <x:v>2</x:v>
      </x:c>
      <x:c r="J96" s="19">
        <x:v>1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9">
        <x:v>1</x:v>
      </x:c>
      <x:c r="J97" s="19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9">
        <x:v>1</x:v>
      </x:c>
      <x:c r="J98" s="19">
        <x:v>2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9">
        <x:v>2</x:v>
      </x:c>
      <x:c r="J99" s="19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9">
        <x:v>2</x:v>
      </x:c>
      <x:c r="J100" s="19">
        <x:v>1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9">
        <x:v>0</x:v>
      </x:c>
      <x:c r="J101" s="19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9">
        <x:v>1</x:v>
      </x:c>
      <x:c r="J102" s="19">
        <x:v>2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9">
        <x:v>1</x:v>
      </x:c>
      <x:c r="J103" s="19">
        <x:v>2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9">
        <x:v>2</x:v>
      </x:c>
      <x:c r="J104" s="19">
        <x:v>1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9">
        <x:v>2</x:v>
      </x:c>
      <x:c r="J105" s="19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9">
        <x:v>1</x:v>
      </x:c>
      <x:c r="J106" s="19">
        <x:v>2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9">
        <x:v>1</x:v>
      </x:c>
      <x:c r="J107" s="19">
        <x:v>2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9">
        <x:v>2</x:v>
      </x:c>
      <x:c r="J108" s="19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9">
        <x:v>2</x:v>
      </x:c>
      <x:c r="J109" s="19">
        <x:v>1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9">
        <x:v>2</x:v>
      </x:c>
      <x:c r="J110" s="19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c91114620b841b9"/>
  </x:tableParts>
</x:worksheet>
</file>

<file path=xl/worksheets/sheet15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286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>
        <x:v>2</x:v>
      </x:c>
      <x:c r="J7" s="5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>
        <x:v>1</x:v>
      </x:c>
      <x:c r="J8" s="5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>
        <x:v>1</x:v>
      </x:c>
      <x:c r="J9" s="5">
        <x:v>1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>
        <x:v>2</x:v>
      </x:c>
      <x:c r="J10" s="5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>
        <x:v>1</x:v>
      </x:c>
      <x:c r="J11" s="5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>
        <x:v>2</x:v>
      </x:c>
      <x:c r="J12" s="5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>
        <x:v>1</x:v>
      </x:c>
      <x:c r="J13" s="5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>
        <x:v>1</x:v>
      </x:c>
      <x:c r="J14" s="5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>
        <x:v>2</x:v>
      </x:c>
      <x:c r="J15" s="5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>
        <x:v>2</x:v>
      </x:c>
      <x:c r="J16" s="5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>
        <x:v>1</x:v>
      </x:c>
      <x:c r="J17" s="5">
        <x:v>2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>
        <x:v>2</x:v>
      </x:c>
      <x:c r="J18" s="5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>
        <x:v>2</x:v>
      </x:c>
      <x:c r="J19" s="5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>
        <x:v>2</x:v>
      </x:c>
      <x:c r="J20" s="5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>
        <x:v>1</x:v>
      </x:c>
      <x:c r="J21" s="5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>
        <x:v>1</x:v>
      </x:c>
      <x:c r="J22" s="5">
        <x:v>1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>
        <x:v>2</x:v>
      </x:c>
      <x:c r="J23" s="5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>
        <x:v>0</x:v>
      </x:c>
      <x:c r="J24" s="5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>
        <x:v>2</x:v>
      </x:c>
      <x:c r="J25" s="5">
        <x:v>1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>
        <x:v>2</x:v>
      </x:c>
      <x:c r="J26" s="5">
        <x:v>1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>
        <x:v>2</x:v>
      </x:c>
      <x:c r="J27" s="5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>
        <x:v>2</x:v>
      </x:c>
      <x:c r="J28" s="5">
        <x:v>0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>
        <x:v>2</x:v>
      </x:c>
      <x:c r="J29" s="5">
        <x:v>1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>
        <x:v>1</x:v>
      </x:c>
      <x:c r="J30" s="5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>
        <x:v>2</x:v>
      </x:c>
      <x:c r="J31" s="5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>
        <x:v>1</x:v>
      </x:c>
      <x:c r="J32" s="5">
        <x:v>1</x:v>
      </x:c>
      <x:c r="K32" s="6" t="str">
        <x:f t="shared" si="0"/>
        <x:v>X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>
        <x:v>1</x:v>
      </x:c>
      <x:c r="J33" s="5">
        <x:v>1</x:v>
      </x:c>
      <x:c r="K33" s="6" t="str">
        <x:f t="shared" si="0"/>
        <x:v>X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>
        <x:v>2</x:v>
      </x:c>
      <x:c r="J34" s="5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>
        <x:v>2</x:v>
      </x:c>
      <x:c r="J35" s="5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>
        <x:v>1</x:v>
      </x:c>
      <x:c r="J36" s="5">
        <x:v>1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>
        <x:v>2</x:v>
      </x:c>
      <x:c r="J37" s="5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>
        <x:v>1</x:v>
      </x:c>
      <x:c r="J38" s="5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>
        <x:v>2</x:v>
      </x:c>
      <x:c r="J39" s="5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>
        <x:v>2</x:v>
      </x:c>
      <x:c r="J40" s="5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>
        <x:v>2</x:v>
      </x:c>
      <x:c r="J41" s="5">
        <x:v>1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>
        <x:v>1</x:v>
      </x:c>
      <x:c r="J42" s="5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>
        <x:v>2</x:v>
      </x:c>
      <x:c r="J43" s="5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>
        <x:v>2</x:v>
      </x:c>
      <x:c r="J44" s="5">
        <x:v>1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>
        <x:v>2</x:v>
      </x:c>
      <x:c r="J45" s="5">
        <x:v>1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>
        <x:v>1</x:v>
      </x:c>
      <x:c r="J46" s="5">
        <x:v>1</x:v>
      </x:c>
      <x:c r="K46" s="6" t="str">
        <x:f t="shared" si="1"/>
        <x:v>X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>
        <x:v>2</x:v>
      </x:c>
      <x:c r="J47" s="5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>
        <x:v>2</x:v>
      </x:c>
      <x:c r="J48" s="5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>
        <x:v>1</x:v>
      </x:c>
      <x:c r="J49" s="5">
        <x:v>1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>
        <x:v>1</x:v>
      </x:c>
      <x:c r="J50" s="5">
        <x:v>1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>
        <x:v>2</x:v>
      </x:c>
      <x:c r="J51" s="5">
        <x:v>1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>
        <x:v>2</x:v>
      </x:c>
      <x:c r="J52" s="5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>
        <x:v>1</x:v>
      </x:c>
      <x:c r="J53" s="5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>
        <x:v>2</x:v>
      </x:c>
      <x:c r="J54" s="5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>
        <x:v>1</x:v>
      </x:c>
      <x:c r="J55" s="5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>
        <x:v>2</x:v>
      </x:c>
      <x:c r="J56" s="5">
        <x:v>1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 t="n">
        <x:v>2</x:v>
      </x:c>
      <x:c r="J57" s="5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 t="n">
        <x:v>1</x:v>
      </x:c>
      <x:c r="J58" s="5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>
        <x:v>1</x:v>
      </x:c>
      <x:c r="J59" s="5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>
        <x:v>1</x:v>
      </x:c>
      <x:c r="J60" s="5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>
        <x:v>1</x:v>
      </x:c>
      <x:c r="J61" s="5">
        <x:v>1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>
        <x:v>1</x:v>
      </x:c>
      <x:c r="J62" s="5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>
        <x:v>1</x:v>
      </x:c>
      <x:c r="J63" s="5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>
        <x:v>1</x:v>
      </x:c>
      <x:c r="J64" s="5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>
        <x:v>1</x:v>
      </x:c>
      <x:c r="J65" s="5">
        <x:v>2</x:v>
      </x:c>
      <x:c r="K65" s="6" t="str">
        <x:f t="shared" si="1"/>
        <x:v>2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>
        <x:v>1</x:v>
      </x:c>
      <x:c r="J66" s="5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>
        <x:v>1</x:v>
      </x:c>
      <x:c r="J67" s="5">
        <x:v>1</x:v>
      </x:c>
      <x:c r="K67" s="6" t="str">
        <x:f t="shared" si="1"/>
        <x:v>X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>
        <x:v>2</x:v>
      </x:c>
      <x:c r="J68" s="5">
        <x:v>1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>
        <x:v>1</x:v>
      </x:c>
      <x:c r="J69" s="5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>
        <x:v>1</x:v>
      </x:c>
      <x:c r="J70" s="5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>
        <x:v>1</x:v>
      </x:c>
      <x:c r="J71" s="5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>
        <x:v>1</x:v>
      </x:c>
      <x:c r="J72" s="5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>
        <x:v>0</x:v>
      </x:c>
      <x:c r="J73" s="5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>
        <x:v>2</x:v>
      </x:c>
      <x:c r="J74" s="5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>
        <x:v>1</x:v>
      </x:c>
      <x:c r="J75" s="5">
        <x:v>1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>
        <x:v>1</x:v>
      </x:c>
      <x:c r="J76" s="5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>
        <x:v>1</x:v>
      </x:c>
      <x:c r="J77" s="5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>
        <x:v>0</x:v>
      </x:c>
      <x:c r="J78" s="5">
        <x:v>2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>
        <x:v>1</x:v>
      </x:c>
      <x:c r="J79" s="5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>
        <x:v>2</x:v>
      </x:c>
      <x:c r="J80" s="5">
        <x:v>1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>
        <x:v>2</x:v>
      </x:c>
      <x:c r="J81" s="5">
        <x:v>1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>
        <x:v>2</x:v>
      </x:c>
      <x:c r="J82" s="5">
        <x:v>1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>
        <x:v>1</x:v>
      </x:c>
      <x:c r="J83" s="5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>
        <x:v>2</x:v>
      </x:c>
      <x:c r="J84" s="5">
        <x:v>1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>
        <x:v>2</x:v>
      </x:c>
      <x:c r="J85" s="5">
        <x:v>1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>
        <x:v>2</x:v>
      </x:c>
      <x:c r="J86" s="5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>
        <x:v>2</x:v>
      </x:c>
      <x:c r="J87" s="5">
        <x:v>1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>
        <x:v>2</x:v>
      </x:c>
      <x:c r="J88" s="5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>
        <x:v>2</x:v>
      </x:c>
      <x:c r="J89" s="5">
        <x:v>0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>
        <x:v>2</x:v>
      </x:c>
      <x:c r="J90" s="5">
        <x:v>1</x:v>
      </x:c>
      <x:c r="K90" s="6" t="str">
        <x:f t="shared" si="2"/>
        <x:v>1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>
        <x:v>2</x:v>
      </x:c>
      <x:c r="J91" s="5">
        <x:v>1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>
        <x:v>2</x:v>
      </x:c>
      <x:c r="J92" s="5">
        <x:v>1</x:v>
      </x:c>
      <x:c r="K92" s="6" t="str">
        <x:f t="shared" si="2"/>
        <x:v>1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>
        <x:v>2</x:v>
      </x:c>
      <x:c r="J93" s="5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>
        <x:v>2</x:v>
      </x:c>
      <x:c r="J94" s="5">
        <x:v>1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>
        <x:v>1</x:v>
      </x:c>
      <x:c r="J95" s="5">
        <x:v>2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>
        <x:v>2</x:v>
      </x:c>
      <x:c r="J96" s="5">
        <x:v>1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>
        <x:v>1</x:v>
      </x:c>
      <x:c r="J97" s="5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>
        <x:v>1</x:v>
      </x:c>
      <x:c r="J98" s="5">
        <x:v>2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>
        <x:v>2</x:v>
      </x:c>
      <x:c r="J99" s="5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>
        <x:v>2</x:v>
      </x:c>
      <x:c r="J100" s="5">
        <x:v>1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>
        <x:v>1</x:v>
      </x:c>
      <x:c r="J101" s="5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>
        <x:v>1</x:v>
      </x:c>
      <x:c r="J102" s="5">
        <x:v>2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>
        <x:v>1</x:v>
      </x:c>
      <x:c r="J103" s="5">
        <x:v>2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>
        <x:v>2</x:v>
      </x:c>
      <x:c r="J104" s="5">
        <x:v>1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>
        <x:v>2</x:v>
      </x:c>
      <x:c r="J105" s="5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>
        <x:v>1</x:v>
      </x:c>
      <x:c r="J106" s="5">
        <x:v>2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>
        <x:v>1</x:v>
      </x:c>
      <x:c r="J107" s="5">
        <x:v>2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>
        <x:v>2</x:v>
      </x:c>
      <x:c r="J108" s="5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>
        <x:v>2</x:v>
      </x:c>
      <x:c r="J109" s="5">
        <x:v>1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>
        <x:v>2</x:v>
      </x:c>
      <x:c r="J110" s="5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eee1d41c56948c9"/>
  </x:tableParts>
</x:worksheet>
</file>

<file path=xl/worksheets/sheet16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287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21">
        <x:v>3</x:v>
      </x:c>
      <x:c r="J7" s="21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21">
        <x:v>1</x:v>
      </x:c>
      <x:c r="J8" s="21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21">
        <x:v>2</x:v>
      </x:c>
      <x:c r="J9" s="21">
        <x:v>1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21">
        <x:v>1</x:v>
      </x:c>
      <x:c r="J10" s="21">
        <x:v>1</x:v>
      </x:c>
      <x:c r="K10" s="6" t="str">
        <x:f t="shared" si="0"/>
        <x:v>X</x:v>
      </x:c>
      <x:c r="L10" s="8" t="str">
        <x:f>IF(Matchschema!$K5="","",IF(AND(I10=Matchschema!$K5,J10=Matchschema!$L5),Regler!$B$4,IF(K10=Matchschema!$M5,Regler!$B$5,0)))</x:f>
      </x:c>
      <x:c r="M10" s="3"/>
    </x:row>
    <x:row r="11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21">
        <x:v>0</x:v>
      </x:c>
      <x:c r="J11" s="21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21">
        <x:v>2</x:v>
      </x:c>
      <x:c r="J12" s="21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21">
        <x:v>1</x:v>
      </x:c>
      <x:c r="J13" s="21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21">
        <x:v>0</x:v>
      </x:c>
      <x:c r="J14" s="21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21">
        <x:v>4</x:v>
      </x:c>
      <x:c r="J15" s="21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21">
        <x:v>2</x:v>
      </x:c>
      <x:c r="J16" s="21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21">
        <x:v>2</x:v>
      </x:c>
      <x:c r="J17" s="21">
        <x:v>1</x:v>
      </x:c>
      <x:c r="K17" s="6" t="str">
        <x:f t="shared" si="0"/>
        <x:v>1</x:v>
      </x:c>
      <x:c r="L17" s="8" t="str">
        <x:f>IF(Matchschema!$K12="","",IF(AND(I17=Matchschema!$K12,J17=Matchschema!$L12),Regler!$B$4,IF(K17=Matchschema!$M12,Regler!$B$5,0)))</x:f>
      </x:c>
      <x:c r="M17" s="3"/>
    </x:row>
    <x:row r="18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21">
        <x:v>2</x:v>
      </x:c>
      <x:c r="J18" s="21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21">
        <x:v>4</x:v>
      </x:c>
      <x:c r="J19" s="21">
        <x:v>1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21">
        <x:v>2</x:v>
      </x:c>
      <x:c r="J20" s="21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21">
        <x:v>0</x:v>
      </x:c>
      <x:c r="J21" s="21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21">
        <x:v>2</x:v>
      </x:c>
      <x:c r="J22" s="21">
        <x:v>1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21">
        <x:v>2</x:v>
      </x:c>
      <x:c r="J23" s="21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21">
        <x:v>0</x:v>
      </x:c>
      <x:c r="J24" s="21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21">
        <x:v>2</x:v>
      </x:c>
      <x:c r="J25" s="21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21">
        <x:v>2</x:v>
      </x:c>
      <x:c r="J26" s="21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21">
        <x:v>3</x:v>
      </x:c>
      <x:c r="J27" s="21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21">
        <x:v>2</x:v>
      </x:c>
      <x:c r="J28" s="21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21">
        <x:v>2</x:v>
      </x:c>
      <x:c r="J29" s="21">
        <x:v>0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21">
        <x:v>0</x:v>
      </x:c>
      <x:c r="J30" s="21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21">
        <x:v>2</x:v>
      </x:c>
      <x:c r="J31" s="21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21">
        <x:v>2</x:v>
      </x:c>
      <x:c r="J32" s="21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21">
        <x:v>2</x:v>
      </x:c>
      <x:c r="J33" s="21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21">
        <x:v>2</x:v>
      </x:c>
      <x:c r="J34" s="21">
        <x:v>0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21">
        <x:v>2</x:v>
      </x:c>
      <x:c r="J35" s="21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21">
        <x:v>1</x:v>
      </x:c>
      <x:c r="J36" s="21">
        <x:v>1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21">
        <x:v>4</x:v>
      </x:c>
      <x:c r="J37" s="21">
        <x:v>1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21">
        <x:v>1</x:v>
      </x:c>
      <x:c r="J38" s="21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21">
        <x:v>2</x:v>
      </x:c>
      <x:c r="J39" s="21">
        <x:v>0</x:v>
      </x:c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21">
        <x:v>2</x:v>
      </x:c>
      <x:c r="J40" s="21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21">
        <x:v>2</x:v>
      </x:c>
      <x:c r="J41" s="21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21">
        <x:v>0</x:v>
      </x:c>
      <x:c r="J42" s="21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21">
        <x:v>4</x:v>
      </x:c>
      <x:c r="J43" s="21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21">
        <x:v>3</x:v>
      </x:c>
      <x:c r="J44" s="21">
        <x:v>1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21">
        <x:v>3</x:v>
      </x:c>
      <x:c r="J45" s="21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21">
        <x:v>0</x:v>
      </x:c>
      <x:c r="J46" s="21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21">
        <x:v>2</x:v>
      </x:c>
      <x:c r="J47" s="21">
        <x:v>0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21">
        <x:v>4</x:v>
      </x:c>
      <x:c r="J48" s="21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21">
        <x:v>2</x:v>
      </x:c>
      <x:c r="J49" s="21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21">
        <x:v>1</x:v>
      </x:c>
      <x:c r="J50" s="21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21">
        <x:v>4</x:v>
      </x:c>
      <x:c r="J51" s="21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21">
        <x:v>3</x:v>
      </x:c>
      <x:c r="J52" s="21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21">
        <x:v>0</x:v>
      </x:c>
      <x:c r="J53" s="21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21">
        <x:v>2</x:v>
      </x:c>
      <x:c r="J54" s="21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21">
        <x:v>2</x:v>
      </x:c>
      <x:c r="J55" s="21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21">
        <x:v>2</x:v>
      </x:c>
      <x:c r="J56" s="21">
        <x:v>1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21" t="n">
        <x:v>2</x:v>
      </x:c>
      <x:c r="J57" s="21" t="n">
        <x:v>1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21" t="n">
        <x:v>0</x:v>
      </x:c>
      <x:c r="J58" s="21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21">
        <x:v>1</x:v>
      </x:c>
      <x:c r="J59" s="21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21">
        <x:v>1</x:v>
      </x:c>
      <x:c r="J60" s="21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21">
        <x:v>0</x:v>
      </x:c>
      <x:c r="J61" s="21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21">
        <x:v>1</x:v>
      </x:c>
      <x:c r="J62" s="21">
        <x:v>1</x:v>
      </x:c>
      <x:c r="K62" s="6" t="str">
        <x:f t="shared" si="1"/>
        <x:v>X</x:v>
      </x:c>
      <x:c r="L62" s="8" t="str">
        <x:f>IF(Matchschema!$K57="","",IF(AND(I62=Matchschema!$K57,J62=Matchschema!$L57),Regler!$B$4,IF(K62=Matchschema!$M57,Regler!$B$5,0)))</x:f>
      </x:c>
      <x:c r="M62" s="3"/>
    </x:row>
    <x:row r="63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21">
        <x:v>2</x:v>
      </x:c>
      <x:c r="J63" s="21">
        <x:v>1</x:v>
      </x:c>
      <x:c r="K63" s="6" t="str">
        <x:f t="shared" si="1"/>
        <x:v>1</x:v>
      </x:c>
      <x:c r="L63" s="8" t="str">
        <x:f>IF(Matchschema!$K58="","",IF(AND(I63=Matchschema!$K58,J63=Matchschema!$L58),Regler!$B$4,IF(K63=Matchschema!$M58,Regler!$B$5,0)))</x:f>
      </x:c>
      <x:c r="M63" s="3"/>
    </x:row>
    <x:row r="64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21">
        <x:v>0</x:v>
      </x:c>
      <x:c r="J64" s="21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21">
        <x:v>2</x:v>
      </x:c>
      <x:c r="J65" s="21">
        <x:v>1</x:v>
      </x:c>
      <x:c r="K65" s="6" t="str">
        <x:f t="shared" si="1"/>
        <x:v>1</x:v>
      </x:c>
      <x:c r="L65" s="8" t="str">
        <x:f>IF(Matchschema!$K60="","",IF(AND(I65=Matchschema!$K60,J65=Matchschema!$L60),Regler!$B$4,IF(K65=Matchschema!$M60,Regler!$B$5,0)))</x:f>
      </x:c>
      <x:c r="M65" s="3"/>
    </x:row>
    <x:row r="66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21">
        <x:v>2</x:v>
      </x:c>
      <x:c r="J66" s="21">
        <x:v>0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21">
        <x:v>1</x:v>
      </x:c>
      <x:c r="J67" s="21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21">
        <x:v>2</x:v>
      </x:c>
      <x:c r="J68" s="21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21">
        <x:v>1</x:v>
      </x:c>
      <x:c r="J69" s="21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21">
        <x:v>0</x:v>
      </x:c>
      <x:c r="J70" s="21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21">
        <x:v>2</x:v>
      </x:c>
      <x:c r="J71" s="21">
        <x:v>1</x:v>
      </x:c>
      <x:c r="K71" s="6" t="str">
        <x:f t="shared" ref="K71:K102" si="2">IF(OR(I71="",J71=""),"",IF(I71&gt;J71,"1",IF(I71=J71,"X","2")))</x:f>
        <x:v>1</x:v>
      </x:c>
      <x:c r="L71" s="8" t="str">
        <x:f>IF(Matchschema!$K66="","",IF(AND(I71=Matchschema!$K66,J71=Matchschema!$L66),Regler!$B$4,IF(K71=Matchschema!$M66,Regler!$B$5,0)))</x:f>
      </x:c>
      <x:c r="M71" s="3"/>
    </x:row>
    <x:row r="72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21">
        <x:v>0</x:v>
      </x:c>
      <x:c r="J72" s="21">
        <x:v>4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21">
        <x:v>1</x:v>
      </x:c>
      <x:c r="J73" s="21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21">
        <x:v>2</x:v>
      </x:c>
      <x:c r="J74" s="21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21">
        <x:v>1</x:v>
      </x:c>
      <x:c r="J75" s="21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21">
        <x:v>2</x:v>
      </x:c>
      <x:c r="J76" s="21">
        <x:v>1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21">
        <x:v>1</x:v>
      </x:c>
      <x:c r="J77" s="21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21">
        <x:v>0</x:v>
      </x:c>
      <x:c r="J78" s="21">
        <x:v>4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21">
        <x:v>1</x:v>
      </x:c>
      <x:c r="J79" s="21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21">
        <x:v>2</x:v>
      </x:c>
      <x:c r="J80" s="21">
        <x:v>1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21">
        <x:v>2</x:v>
      </x:c>
      <x:c r="J81" s="21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21">
        <x:v>2</x:v>
      </x:c>
      <x:c r="J82" s="21">
        <x:v>1</x:v>
      </x:c>
      <x:c r="K82" s="6" t="str">
        <x:f t="shared" si="2"/>
        <x:v>1</x:v>
      </x:c>
      <x:c r="L82" s="8" t="str">
        <x:f>IF(Matchschema!$K77="","",IF(AND(I82=Matchschema!$K77,J82=Matchschema!$L77),Regler!$B$4,IF(K82=Matchschema!$M77,Regler!$B$5,0)))</x:f>
      </x:c>
      <x:c r="M82" s="3"/>
    </x:row>
    <x:row r="83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21">
        <x:v>1</x:v>
      </x:c>
      <x:c r="J83" s="21">
        <x:v>2</x:v>
      </x:c>
      <x:c r="K83" s="6" t="str">
        <x:f t="shared" si="2"/>
        <x:v>2</x:v>
      </x:c>
      <x:c r="L83" s="8" t="str">
        <x:f>IF(Matchschema!$K78="","",IF(AND(I83=Matchschema!$K78,J83=Matchschema!$L78),Regler!$B$4,IF(K83=Matchschema!$M78,Regler!$B$5,0)))</x:f>
      </x:c>
      <x:c r="M83" s="3"/>
    </x:row>
    <x:row r="84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21">
        <x:v>4</x:v>
      </x:c>
      <x:c r="J84" s="21">
        <x:v>1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21">
        <x:v>2</x:v>
      </x:c>
      <x:c r="J85" s="21">
        <x:v>1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21">
        <x:v>3</x:v>
      </x:c>
      <x:c r="J86" s="21">
        <x:v>1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21">
        <x:v>2</x:v>
      </x:c>
      <x:c r="J87" s="21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21">
        <x:v>2</x:v>
      </x:c>
      <x:c r="J88" s="21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21">
        <x:v>2</x:v>
      </x:c>
      <x:c r="J89" s="21">
        <x:v>0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21">
        <x:v>2</x:v>
      </x:c>
      <x:c r="J90" s="21">
        <x:v>1</x:v>
      </x:c>
      <x:c r="K90" s="6" t="str">
        <x:f t="shared" si="2"/>
        <x:v>1</x:v>
      </x:c>
      <x:c r="L90" s="8" t="str">
        <x:f>IF(Matchschema!$K85="","",IF(AND(I90=Matchschema!$K85,J90=Matchschema!$L85),Regler!$B$4,IF(K90=Matchschema!$M85,Regler!$B$5,0)))</x:f>
      </x:c>
      <x:c r="M90" s="3"/>
    </x:row>
    <x:row r="91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21">
        <x:v>2</x:v>
      </x:c>
      <x:c r="J91" s="21">
        <x:v>1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21">
        <x:v>2</x:v>
      </x:c>
      <x:c r="J92" s="21">
        <x:v>1</x:v>
      </x:c>
      <x:c r="K92" s="6" t="str">
        <x:f t="shared" si="2"/>
        <x:v>1</x:v>
      </x:c>
      <x:c r="L92" s="8" t="str">
        <x:f>IF(Matchschema!$K87="","",IF(AND(I92=Matchschema!$K87,J92=Matchschema!$L87),Regler!$B$4,IF(K92=Matchschema!$M87,Regler!$B$5,0)))</x:f>
      </x:c>
      <x:c r="M92" s="3"/>
    </x:row>
    <x:row r="93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21">
        <x:v>2</x:v>
      </x:c>
      <x:c r="J93" s="21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21">
        <x:v>3</x:v>
      </x:c>
      <x:c r="J94" s="21">
        <x:v>1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21">
        <x:v>0</x:v>
      </x:c>
      <x:c r="J95" s="21">
        <x:v>2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21">
        <x:v>2</x:v>
      </x:c>
      <x:c r="J96" s="21">
        <x:v>1</x:v>
      </x:c>
      <x:c r="K96" s="6" t="str">
        <x:f t="shared" si="2"/>
        <x:v>1</x:v>
      </x:c>
      <x:c r="L96" s="8" t="str">
        <x:f>IF(Matchschema!$K91="","",IF(AND(I96=Matchschema!$K91,J96=Matchschema!$L91),Regler!$B$4,IF(K96=Matchschema!$M91,Regler!$B$5,0)))</x:f>
      </x:c>
      <x:c r="M96" s="3"/>
    </x:row>
    <x:row r="97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21">
        <x:v>1</x:v>
      </x:c>
      <x:c r="J97" s="21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21">
        <x:v>1</x:v>
      </x:c>
      <x:c r="J98" s="21">
        <x:v>2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21">
        <x:v>2</x:v>
      </x:c>
      <x:c r="J99" s="21">
        <x:v>0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21">
        <x:v>2</x:v>
      </x:c>
      <x:c r="J100" s="21">
        <x:v>1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21">
        <x:v>0</x:v>
      </x:c>
      <x:c r="J101" s="21">
        <x:v>2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21">
        <x:v>1</x:v>
      </x:c>
      <x:c r="J102" s="21">
        <x:v>2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21">
        <x:v>1</x:v>
      </x:c>
      <x:c r="J103" s="21">
        <x:v>2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21">
        <x:v>2</x:v>
      </x:c>
      <x:c r="J104" s="21">
        <x:v>1</x:v>
      </x:c>
      <x:c r="K104" s="6" t="str">
        <x:f t="shared" si="3"/>
        <x:v>1</x:v>
      </x:c>
      <x:c r="L104" s="8" t="str">
        <x:f>IF(Matchschema!$K99="","",IF(AND(I104=Matchschema!$K99,J104=Matchschema!$L99),Regler!$B$4,IF(K104=Matchschema!$M99,Regler!$B$5,0)))</x:f>
      </x:c>
      <x:c r="M104" s="3"/>
    </x:row>
    <x:row r="10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21">
        <x:v>2</x:v>
      </x:c>
      <x:c r="J105" s="21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21">
        <x:v>1</x:v>
      </x:c>
      <x:c r="J106" s="21">
        <x:v>2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21">
        <x:v>1</x:v>
      </x:c>
      <x:c r="J107" s="21">
        <x:v>2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21">
        <x:v>2</x:v>
      </x:c>
      <x:c r="J108" s="21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21">
        <x:v>3</x:v>
      </x:c>
      <x:c r="J109" s="21">
        <x:v>2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21">
        <x:v>2</x:v>
      </x:c>
      <x:c r="J110" s="21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37ac80eff8242b6"/>
  </x:tableParts>
</x:worksheet>
</file>

<file path=xl/worksheets/sheet17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288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1</x:v>
      </x:c>
      <x:c r="J8" s="16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0</x:v>
      </x:c>
      <x:c r="J9" s="16">
        <x:v>0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3</x:v>
      </x:c>
      <x:c r="K10" s="6" t="str">
        <x:f t="shared" si="0"/>
        <x:v>2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1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1</x:v>
      </x:c>
      <x:c r="J13" s="16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2</x:v>
      </x:c>
      <x:c r="J14" s="16">
        <x:v>1</x:v>
      </x:c>
      <x:c r="K14" s="6" t="str">
        <x:f t="shared" si="0"/>
        <x:v>1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4</x:v>
      </x:c>
      <x:c r="J15" s="16">
        <x:v>1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3</x:v>
      </x:c>
      <x:c r="J16" s="16">
        <x:v>2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3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3</x:v>
      </x:c>
      <x:c r="J19" s="16">
        <x:v>1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3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3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0</x:v>
      </x:c>
      <x:c r="J22" s="16">
        <x:v>2</x:v>
      </x:c>
      <x:c r="K22" s="6" t="str">
        <x:f t="shared" si="0"/>
        <x:v>2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3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2</x:v>
      </x:c>
      <x:c r="J26" s="16">
        <x:v>1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4</x:v>
      </x:c>
      <x:c r="J27" s="16">
        <x:v>1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3</x:v>
      </x:c>
      <x:c r="J28" s="16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1</x:v>
      </x:c>
      <x:c r="J29" s="16">
        <x:v>1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1</x:v>
      </x:c>
      <x:c r="J33" s="16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3</x:v>
      </x:c>
      <x:c r="J34" s="16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2</x:v>
      </x:c>
      <x:c r="J35" s="16">
        <x:v>1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1</x:v>
      </x:c>
      <x:c r="J36" s="16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2</x:v>
      </x:c>
      <x:c r="J38" s="16">
        <x:v>1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2</x:v>
      </x:c>
      <x:c r="J39" s="16">
        <x:v>2</x:v>
      </x:c>
      <x:c r="K39" s="6" t="str">
        <x:f t="shared" ref="K39:K70" si="1">IF(OR(I39="",J39=""),"",IF(I39&gt;J39,"1",IF(I39=J39,"X","2")))</x:f>
        <x:v>X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3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1</x:v>
      </x:c>
      <x:c r="J41" s="16">
        <x:v>1</x:v>
      </x:c>
      <x:c r="K41" s="6" t="str">
        <x:f t="shared" si="1"/>
        <x:v>X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1</x:v>
      </x:c>
      <x:c r="J42" s="16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2</x:v>
      </x:c>
      <x:c r="J44" s="16">
        <x:v>1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1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3</x:v>
      </x:c>
      <x:c r="J46" s="16">
        <x:v>1</x:v>
      </x:c>
      <x:c r="K46" s="6" t="str">
        <x:f t="shared" si="1"/>
        <x:v>1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2</x:v>
      </x:c>
      <x:c r="J47" s="16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1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3</x:v>
      </x:c>
      <x:c r="J49" s="16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2</x:v>
      </x:c>
      <x:c r="J50" s="16">
        <x:v>1</x:v>
      </x:c>
      <x:c r="K50" s="6" t="str">
        <x:f t="shared" si="1"/>
        <x:v>1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3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2</x:v>
      </x:c>
      <x:c r="J52" s="16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1</x:v>
      </x:c>
      <x:c r="J53" s="16">
        <x:v>1</x:v>
      </x:c>
      <x:c r="K53" s="6" t="str">
        <x:f t="shared" si="1"/>
        <x:v>X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2</x:v>
      </x:c>
      <x:c r="J54" s="16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3</x:v>
      </x:c>
      <x:c r="J55" s="16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1</x:v>
      </x:c>
      <x:c r="J56" s="16">
        <x:v>2</x:v>
      </x:c>
      <x:c r="K56" s="6" t="str">
        <x:f t="shared" si="1"/>
        <x:v>2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3</x:v>
      </x:c>
      <x:c r="J57" s="16" t="n">
        <x:v>1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4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1</x:v>
      </x:c>
      <x:c r="J60" s="16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1</x:v>
      </x:c>
      <x:c r="J61" s="16">
        <x:v>1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0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2</x:v>
      </x:c>
      <x:c r="J63" s="16">
        <x:v>3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1</x:v>
      </x:c>
      <x:c r="J64" s="16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0</x:v>
      </x:c>
      <x:c r="J65" s="16">
        <x:v>1</x:v>
      </x:c>
      <x:c r="K65" s="6" t="str">
        <x:f t="shared" si="1"/>
        <x:v>2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2</x:v>
      </x:c>
      <x:c r="J67" s="16">
        <x:v>1</x:v>
      </x:c>
      <x:c r="K67" s="6" t="str">
        <x:f t="shared" si="1"/>
        <x:v>1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2</x:v>
      </x:c>
      <x:c r="J69" s="16">
        <x:v>1</x:v>
      </x:c>
      <x:c r="K69" s="6" t="str">
        <x:f t="shared" si="1"/>
        <x:v>1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0</x:v>
      </x:c>
      <x:c r="J71" s="16">
        <x:v>1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2</x:v>
      </x:c>
      <x:c r="J72" s="16">
        <x:v>2</x:v>
      </x:c>
      <x:c r="K72" s="6" t="str">
        <x:f t="shared" si="2"/>
        <x:v>X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1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1</x:v>
      </x:c>
      <x:c r="J75" s="16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1</x:v>
      </x:c>
      <x:c r="J77" s="16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1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1</x:v>
      </x:c>
      <x:c r="J79" s="16">
        <x:v>2</x:v>
      </x:c>
      <x:c r="K79" s="6" t="str">
        <x:f t="shared" si="2"/>
        <x:v>2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2</x:v>
      </x:c>
      <x:c r="J80" s="16">
        <x:v>1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3</x:v>
      </x:c>
      <x:c r="J81" s="16">
        <x:v>2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1</x:v>
      </x:c>
      <x:c r="J82" s="16">
        <x:v>2</x:v>
      </x:c>
      <x:c r="K82" s="6" t="str">
        <x:f t="shared" si="2"/>
        <x:v>2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1</x:v>
      </x:c>
      <x:c r="J83" s="16">
        <x:v>0</x:v>
      </x:c>
      <x:c r="K83" s="6" t="str">
        <x:f t="shared" si="2"/>
        <x:v>1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2</x:v>
      </x:c>
      <x:c r="J84" s="16">
        <x:v>1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3</x:v>
      </x:c>
      <x:c r="J85" s="16">
        <x:v>2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1</x:v>
      </x:c>
      <x:c r="J86" s="16">
        <x:v>0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0</x:v>
      </x:c>
      <x:c r="J87" s="16">
        <x:v>1</x:v>
      </x:c>
      <x:c r="K87" s="6" t="str">
        <x:f t="shared" si="2"/>
        <x:v>2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2</x:v>
      </x:c>
      <x:c r="J88" s="16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2</x:v>
      </x:c>
      <x:c r="J89" s="16">
        <x:v>1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1</x:v>
      </x:c>
      <x:c r="J90" s="16">
        <x:v>2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3</x:v>
      </x:c>
      <x:c r="J91" s="16">
        <x:v>1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1</x:v>
      </x:c>
      <x:c r="J92" s="16">
        <x:v>2</x:v>
      </x:c>
      <x:c r="K92" s="6" t="str">
        <x:f t="shared" si="2"/>
        <x:v>2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1</x:v>
      </x:c>
      <x:c r="J93" s="16">
        <x:v>2</x:v>
      </x:c>
      <x:c r="K93" s="6" t="str">
        <x:f t="shared" si="2"/>
        <x:v>2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2</x:v>
      </x:c>
      <x:c r="J94" s="16">
        <x:v>1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4</x:v>
      </x:c>
      <x:c r="J95" s="16">
        <x:v>2</x:v>
      </x:c>
      <x:c r="K95" s="6" t="str">
        <x:f t="shared" si="2"/>
        <x:v>1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1</x:v>
      </x:c>
      <x:c r="J96" s="16">
        <x:v>3</x:v>
      </x:c>
      <x:c r="K96" s="6" t="str">
        <x:f t="shared" si="2"/>
        <x:v>2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2</x:v>
      </x:c>
      <x:c r="J97" s="16">
        <x:v>3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1</x:v>
      </x:c>
      <x:c r="J98" s="16">
        <x:v>0</x:v>
      </x:c>
      <x:c r="K98" s="6" t="str">
        <x:f t="shared" si="2"/>
        <x:v>1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1</x:v>
      </x:c>
      <x:c r="J99" s="16">
        <x:v>0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2</x:v>
      </x:c>
      <x:c r="J100" s="16">
        <x:v>3</x:v>
      </x:c>
      <x:c r="K100" s="6" t="str">
        <x:f t="shared" si="2"/>
        <x:v>2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0</x:v>
      </x:c>
      <x:c r="J101" s="16">
        <x:v>1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2</x:v>
      </x:c>
      <x:c r="J102" s="16">
        <x:v>1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1</x:v>
      </x:c>
      <x:c r="J103" s="16">
        <x:v>3</x:v>
      </x:c>
      <x:c r="K103" s="6" t="str">
        <x:f t="shared" ref="K103:K110" si="3">IF(OR(I103="",J103=""),"",IF(I103&gt;J103,"1",IF(I103=J103,"X","2")))</x:f>
        <x:v>2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1</x:v>
      </x:c>
      <x:c r="J104" s="16">
        <x:v>2</x:v>
      </x:c>
      <x:c r="K104" s="6" t="str">
        <x:f t="shared" si="3"/>
        <x:v>2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2</x:v>
      </x:c>
      <x:c r="J105" s="16">
        <x:v>1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3</x:v>
      </x:c>
      <x:c r="J106" s="16">
        <x:v>2</x:v>
      </x:c>
      <x:c r="K106" s="6" t="str">
        <x:f t="shared" si="3"/>
        <x:v>1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1</x:v>
      </x:c>
      <x:c r="J107" s="16">
        <x:v>4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3</x:v>
      </x:c>
      <x:c r="J108" s="16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1</x:v>
      </x:c>
      <x:c r="J109" s="16">
        <x:v>2</x:v>
      </x:c>
      <x:c r="K109" s="6" t="str">
        <x:f t="shared" si="3"/>
        <x:v>2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2</x:v>
      </x:c>
      <x:c r="J110" s="16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31" priority="1">
      <x:formula>AND(I7&lt;&gt;"",J7&lt;&gt;"")</x:formula>
    </x:cfRule>
  </x:conditionalFormatting>
  <x:conditionalFormatting sqref="J7:J110">
    <x:cfRule type="expression" dxfId="30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ea880b87c8a4b0d"/>
  </x:tableParts>
</x:worksheet>
</file>

<file path=xl/worksheets/sheet18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289</x:v>
      </x:c>
      <x:c r="C2" s="31"/>
      <x:c r="D2" s="31"/>
      <x:c r="F2" s="2" t="s">
        <x:v>271</x:v>
      </x:c>
      <x:c r="G2" s="7" t="n">
        <x:f>SUM(L7:L110)</x:f>
        <x:v>3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1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22">
        <x:v>2</x:v>
      </x:c>
      <x:c r="J7" s="22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3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22">
        <x:v>1</x:v>
      </x:c>
      <x:c r="J8" s="22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22">
        <x:v>2</x:v>
      </x:c>
      <x:c r="J9" s="22">
        <x:v>1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22">
        <x:v>2</x:v>
      </x:c>
      <x:c r="J10" s="22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22">
        <x:v>0</x:v>
      </x:c>
      <x:c r="J11" s="22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22">
        <x:v>2</x:v>
      </x:c>
      <x:c r="J12" s="22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22">
        <x:v>0</x:v>
      </x:c>
      <x:c r="J13" s="22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22">
        <x:v>1</x:v>
      </x:c>
      <x:c r="J14" s="22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22">
        <x:v>3</x:v>
      </x:c>
      <x:c r="J15" s="22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22">
        <x:v>1</x:v>
      </x:c>
      <x:c r="J16" s="22">
        <x:v>1</x:v>
      </x:c>
      <x:c r="K16" s="6" t="str">
        <x:f t="shared" si="0"/>
        <x:v>X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22">
        <x:v>1</x:v>
      </x:c>
      <x:c r="J17" s="22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22">
        <x:v>1</x:v>
      </x:c>
      <x:c r="J18" s="22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22">
        <x:v>3</x:v>
      </x:c>
      <x:c r="J19" s="22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22">
        <x:v>2</x:v>
      </x:c>
      <x:c r="J20" s="22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22">
        <x:v>0</x:v>
      </x:c>
      <x:c r="J21" s="22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22">
        <x:v>2</x:v>
      </x:c>
      <x:c r="J22" s="22">
        <x:v>0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22">
        <x:v>2</x:v>
      </x:c>
      <x:c r="J23" s="22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22">
        <x:v>0</x:v>
      </x:c>
      <x:c r="J24" s="22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22">
        <x:v>2</x:v>
      </x:c>
      <x:c r="J25" s="22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22">
        <x:v>2</x:v>
      </x:c>
      <x:c r="J26" s="22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22">
        <x:v>3</x:v>
      </x:c>
      <x:c r="J27" s="22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22">
        <x:v>2</x:v>
      </x:c>
      <x:c r="J28" s="22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22">
        <x:v>1</x:v>
      </x:c>
      <x:c r="J29" s="22">
        <x:v>1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22">
        <x:v>0</x:v>
      </x:c>
      <x:c r="J30" s="22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22">
        <x:v>2</x:v>
      </x:c>
      <x:c r="J31" s="22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22">
        <x:v>2</x:v>
      </x:c>
      <x:c r="J32" s="22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22">
        <x:v>2</x:v>
      </x:c>
      <x:c r="J33" s="22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22">
        <x:v>2</x:v>
      </x:c>
      <x:c r="J34" s="22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22">
        <x:v>2</x:v>
      </x:c>
      <x:c r="J35" s="22">
        <x:v>0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22">
        <x:v>1</x:v>
      </x:c>
      <x:c r="J36" s="22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22">
        <x:v>3</x:v>
      </x:c>
      <x:c r="J37" s="22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22">
        <x:v>1</x:v>
      </x:c>
      <x:c r="J38" s="22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22">
        <x:v>2</x:v>
      </x:c>
      <x:c r="J39" s="22">
        <x:v>1</x:v>
      </x:c>
      <x:c r="K39" s="6" t="str">
        <x:f t="shared" ref="K39:K70" si="1">IF(OR(I39="",J39=""),"",IF(I39&gt;J39,"1",IF(I39=J39,"X","2")))</x:f>
        <x:v>1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22">
        <x:v>2</x:v>
      </x:c>
      <x:c r="J40" s="22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22">
        <x:v>2</x:v>
      </x:c>
      <x:c r="J41" s="22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22">
        <x:v>0</x:v>
      </x:c>
      <x:c r="J42" s="22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22">
        <x:v>3</x:v>
      </x:c>
      <x:c r="J43" s="22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22">
        <x:v>2</x:v>
      </x:c>
      <x:c r="J44" s="22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22">
        <x:v>2</x:v>
      </x:c>
      <x:c r="J45" s="22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22">
        <x:v>0</x:v>
      </x:c>
      <x:c r="J46" s="22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22">
        <x:v>2</x:v>
      </x:c>
      <x:c r="J47" s="22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22">
        <x:v>3</x:v>
      </x:c>
      <x:c r="J48" s="22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22">
        <x:v>1</x:v>
      </x:c>
      <x:c r="J49" s="22">
        <x:v>1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22">
        <x:v>0</x:v>
      </x:c>
      <x:c r="J50" s="22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22">
        <x:v>2</x:v>
      </x:c>
      <x:c r="J51" s="22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22">
        <x:v>2</x:v>
      </x:c>
      <x:c r="J52" s="22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22">
        <x:v>0</x:v>
      </x:c>
      <x:c r="J53" s="22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22">
        <x:v>2</x:v>
      </x:c>
      <x:c r="J54" s="22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22">
        <x:v>1</x:v>
      </x:c>
      <x:c r="J55" s="22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22">
        <x:v>1</x:v>
      </x:c>
      <x:c r="J56" s="22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22" t="n">
        <x:v>3</x:v>
      </x:c>
      <x:c r="J57" s="22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22" t="n">
        <x:v>0</x:v>
      </x:c>
      <x:c r="J58" s="22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22">
        <x:v>1</x:v>
      </x:c>
      <x:c r="J59" s="22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22">
        <x:v>1</x:v>
      </x:c>
      <x:c r="J60" s="22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22">
        <x:v>0</x:v>
      </x:c>
      <x:c r="J61" s="22">
        <x:v>2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22">
        <x:v>1</x:v>
      </x:c>
      <x:c r="J62" s="22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22">
        <x:v>1</x:v>
      </x:c>
      <x:c r="J63" s="22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22">
        <x:v>0</x:v>
      </x:c>
      <x:c r="J64" s="22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22">
        <x:v>1</x:v>
      </x:c>
      <x:c r="J65" s="22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22">
        <x:v>1</x:v>
      </x:c>
      <x:c r="J66" s="22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22">
        <x:v>1</x:v>
      </x:c>
      <x:c r="J67" s="22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22">
        <x:v>2</x:v>
      </x:c>
      <x:c r="J68" s="22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22">
        <x:v>1</x:v>
      </x:c>
      <x:c r="J69" s="22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22">
        <x:v>1</x:v>
      </x:c>
      <x:c r="J70" s="22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22">
        <x:v>1</x:v>
      </x:c>
      <x:c r="J71" s="22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22">
        <x:v>0</x:v>
      </x:c>
      <x:c r="J72" s="22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22">
        <x:v>0</x:v>
      </x:c>
      <x:c r="J73" s="22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22">
        <x:v>2</x:v>
      </x:c>
      <x:c r="J74" s="22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22">
        <x:v>1</x:v>
      </x:c>
      <x:c r="J75" s="22">
        <x:v>1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22">
        <x:v>1</x:v>
      </x:c>
      <x:c r="J76" s="22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22">
        <x:v>1</x:v>
      </x:c>
      <x:c r="J77" s="22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22">
        <x:v>0</x:v>
      </x:c>
      <x:c r="J78" s="22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0</x:v>
      </x:c>
      <x:c r="J79" s="16">
        <x:v>0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0</x:v>
      </x:c>
      <x:c r="J80" s="16">
        <x:v>0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0</x:v>
      </x:c>
      <x:c r="J81" s="16">
        <x:v>0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0</x:v>
      </x:c>
      <x:c r="J82" s="16">
        <x:v>0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0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0</x:v>
      </x:c>
      <x:c r="J84" s="16">
        <x:v>0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0</x:v>
      </x:c>
      <x:c r="J85" s="16">
        <x:v>0</x:v>
      </x:c>
      <x:c r="K85" s="6" t="str">
        <x:f t="shared" si="2"/>
        <x:v>X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0</x:v>
      </x:c>
      <x:c r="J86" s="16">
        <x:v>0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0</x:v>
      </x:c>
      <x:c r="J87" s="16">
        <x:v>0</x:v>
      </x:c>
      <x:c r="K87" s="6" t="str">
        <x:f t="shared" si="2"/>
        <x:v>X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0</x:v>
      </x:c>
      <x:c r="J88" s="16">
        <x:v>0</x:v>
      </x:c>
      <x:c r="K88" s="6" t="str">
        <x:f t="shared" si="2"/>
        <x:v>X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0</x:v>
      </x:c>
      <x:c r="J89" s="16">
        <x:v>0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0</x:v>
      </x:c>
      <x:c r="J90" s="16">
        <x:v>0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0</x:v>
      </x:c>
      <x:c r="J91" s="16">
        <x:v>0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0</x:v>
      </x:c>
      <x:c r="J92" s="16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0</x:v>
      </x:c>
      <x:c r="J93" s="16">
        <x:v>0</x:v>
      </x:c>
      <x:c r="K93" s="6" t="str">
        <x:f t="shared" si="2"/>
        <x:v>X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0</x:v>
      </x:c>
      <x:c r="J94" s="16">
        <x:v>0</x:v>
      </x:c>
      <x:c r="K94" s="6" t="str">
        <x:f t="shared" si="2"/>
        <x:v>X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0</x:v>
      </x:c>
      <x:c r="J95" s="16">
        <x:v>0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0</x:v>
      </x:c>
      <x:c r="K96" s="6" t="str">
        <x:f t="shared" si="2"/>
        <x:v>X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0</x:v>
      </x:c>
      <x:c r="J97" s="16">
        <x:v>0</x:v>
      </x:c>
      <x:c r="K97" s="6" t="str">
        <x:f t="shared" si="2"/>
        <x:v>X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0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0</x:v>
      </x:c>
      <x:c r="J99" s="16">
        <x:v>0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0</x:v>
      </x:c>
      <x:c r="J100" s="16">
        <x:v>0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0</x:v>
      </x:c>
      <x:c r="J101" s="16">
        <x:v>0</x:v>
      </x:c>
      <x:c r="K101" s="6" t="str">
        <x:f t="shared" si="2"/>
        <x:v>X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0</x:v>
      </x:c>
      <x:c r="J102" s="16">
        <x:v>0</x:v>
      </x:c>
      <x:c r="K102" s="6" t="str">
        <x:f t="shared" si="2"/>
        <x:v>X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0</x:v>
      </x:c>
      <x:c r="J103" s="16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0</x:v>
      </x:c>
      <x:c r="J104" s="16">
        <x:v>0</x:v>
      </x:c>
      <x:c r="K104" s="6" t="str">
        <x:f t="shared" si="3"/>
        <x:v>X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0</x:v>
      </x:c>
      <x:c r="J105" s="16">
        <x:v>0</x:v>
      </x:c>
      <x:c r="K105" s="6" t="str">
        <x:f t="shared" si="3"/>
        <x:v>X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0</x:v>
      </x:c>
      <x:c r="J106" s="16">
        <x:v>0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0</x:v>
      </x:c>
      <x:c r="J107" s="16">
        <x:v>0</x:v>
      </x:c>
      <x:c r="K107" s="6" t="str">
        <x:f t="shared" si="3"/>
        <x:v>X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0</x:v>
      </x:c>
      <x:c r="J108" s="16">
        <x:v>0</x:v>
      </x:c>
      <x:c r="K108" s="6" t="str">
        <x:f t="shared" si="3"/>
        <x:v>X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0</x:v>
      </x:c>
      <x:c r="J109" s="16">
        <x:v>0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0</x:v>
      </x:c>
      <x:c r="J110" s="16">
        <x:v>0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27" priority="1">
      <x:formula>AND(I7&lt;&gt;"",J7&lt;&gt;"")</x:formula>
    </x:cfRule>
  </x:conditionalFormatting>
  <x:conditionalFormatting sqref="J7:J110">
    <x:cfRule type="expression" dxfId="26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afafd0241254eed"/>
  </x:tableParts>
</x:worksheet>
</file>

<file path=xl/worksheets/sheet19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290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20">
        <x:v>1</x:v>
      </x:c>
      <x:c r="J7" s="16">
        <x:v>1</x:v>
      </x:c>
      <x:c r="K7" s="6" t="str">
        <x:f t="shared" ref="K7:K38" si="0">IF(OR(I7="",J7=""),"",IF(I7&gt;J7,"1",IF(I7=J7,"X","2")))</x:f>
        <x:v>X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20">
        <x:v>1</x:v>
      </x:c>
      <x:c r="J8" s="16">
        <x:v>3</x:v>
      </x:c>
      <x:c r="K8" s="6" t="str">
        <x:f t="shared" si="0"/>
        <x:v>2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20">
        <x:v>0</x:v>
      </x:c>
      <x:c r="J9" s="16">
        <x:v>0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20">
        <x:v>1</x:v>
      </x:c>
      <x:c r="J10" s="16">
        <x:v>3</x:v>
      </x:c>
      <x:c r="K10" s="6" t="str">
        <x:f t="shared" si="0"/>
        <x:v>2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20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20">
        <x:v>2</x:v>
      </x:c>
      <x:c r="J12" s="16">
        <x:v>2</x:v>
      </x:c>
      <x:c r="K12" s="6" t="str">
        <x:f t="shared" si="0"/>
        <x:v>X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20">
        <x:v>1</x:v>
      </x:c>
      <x:c r="J13" s="16">
        <x:v>1</x:v>
      </x:c>
      <x:c r="K13" s="6" t="str">
        <x:f t="shared" si="0"/>
        <x:v>X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20">
        <x:v>1</x:v>
      </x:c>
      <x:c r="J14" s="16">
        <x:v>3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20">
        <x:v>3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20">
        <x:v>1</x:v>
      </x:c>
      <x:c r="J16" s="16">
        <x:v>2</x:v>
      </x:c>
      <x:c r="K16" s="6" t="str">
        <x:f t="shared" si="0"/>
        <x:v>2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20">
        <x:v>0</x:v>
      </x:c>
      <x:c r="J17" s="16">
        <x:v>2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20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20">
        <x:v>3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20">
        <x:v>2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20">
        <x:v>1</x:v>
      </x:c>
      <x:c r="J21" s="16">
        <x:v>4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20">
        <x:v>0</x:v>
      </x:c>
      <x:c r="J22" s="16">
        <x:v>0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20">
        <x:v>3</x:v>
      </x:c>
      <x:c r="J23" s="16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20">
        <x:v>0</x:v>
      </x:c>
      <x:c r="J24" s="16">
        <x:v>4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20">
        <x:v>2</x:v>
      </x:c>
      <x:c r="J25" s="16">
        <x:v>2</x:v>
      </x:c>
      <x:c r="K25" s="6" t="str">
        <x:f t="shared" si="0"/>
        <x:v>X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20">
        <x:v>0</x:v>
      </x:c>
      <x:c r="J26" s="16">
        <x:v>1</x:v>
      </x:c>
      <x:c r="K26" s="6" t="str">
        <x:f t="shared" si="0"/>
        <x:v>2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20">
        <x:v>2</x:v>
      </x:c>
      <x:c r="J27" s="16">
        <x:v>2</x:v>
      </x:c>
      <x:c r="K27" s="6" t="str">
        <x:f t="shared" si="0"/>
        <x:v>X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20">
        <x:v>2</x:v>
      </x:c>
      <x:c r="J28" s="16">
        <x:v>3</x:v>
      </x:c>
      <x:c r="K28" s="6" t="str">
        <x:f t="shared" si="0"/>
        <x:v>2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20">
        <x:v>3</x:v>
      </x:c>
      <x:c r="J29" s="16">
        <x:v>1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20">
        <x:v>1</x:v>
      </x:c>
      <x:c r="J30" s="16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20">
        <x:v>3</x:v>
      </x:c>
      <x:c r="J31" s="16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20">
        <x:v>1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20">
        <x:v>2</x:v>
      </x:c>
      <x:c r="J33" s="16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20">
        <x:v>2</x:v>
      </x:c>
      <x:c r="J34" s="16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20">
        <x:v>3</x:v>
      </x:c>
      <x:c r="J35" s="16">
        <x:v>0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20">
        <x:v>1</x:v>
      </x:c>
      <x:c r="J36" s="16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20">
        <x:v>5</x:v>
      </x:c>
      <x:c r="J37" s="16">
        <x:v>1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20">
        <x:v>3</x:v>
      </x:c>
      <x:c r="J38" s="16">
        <x:v>3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20">
        <x:v>2</x:v>
      </x:c>
      <x:c r="J39" s="16">
        <x:v>3</x:v>
      </x:c>
      <x:c r="K39" s="6" t="str">
        <x:f t="shared" ref="K39:K70" si="1">IF(OR(I39="",J39=""),"",IF(I39&gt;J39,"1",IF(I39=J39,"X","2")))</x:f>
        <x:v>2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20">
        <x:v>3</x:v>
      </x:c>
      <x:c r="J40" s="16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20">
        <x:v>3</x:v>
      </x:c>
      <x:c r="J41" s="16">
        <x:v>1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20">
        <x:v>0</x:v>
      </x:c>
      <x:c r="J42" s="16">
        <x:v>0</x:v>
      </x:c>
      <x:c r="K42" s="6" t="str">
        <x:f t="shared" si="1"/>
        <x:v>X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20">
        <x:v>4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20">
        <x:v>3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20">
        <x:v>4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20">
        <x:v>0</x:v>
      </x:c>
      <x:c r="J46" s="16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20">
        <x:v>1</x:v>
      </x:c>
      <x:c r="J47" s="16">
        <x:v>1</x:v>
      </x:c>
      <x:c r="K47" s="6" t="str">
        <x:f t="shared" si="1"/>
        <x:v>X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20">
        <x:v>3</x:v>
      </x:c>
      <x:c r="J48" s="16">
        <x:v>1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20">
        <x:v>1</x:v>
      </x:c>
      <x:c r="J49" s="16">
        <x:v>1</x:v>
      </x:c>
      <x:c r="K49" s="6" t="str">
        <x:f t="shared" si="1"/>
        <x:v>X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20">
        <x:v>0</x:v>
      </x:c>
      <x:c r="J50" s="16">
        <x:v>1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20">
        <x:v>3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20">
        <x:v>3</x:v>
      </x:c>
      <x:c r="J52" s="16">
        <x:v>2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20">
        <x:v>0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20">
        <x:v>3</x:v>
      </x:c>
      <x:c r="J54" s="16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20">
        <x:v>1</x:v>
      </x:c>
      <x:c r="J55" s="16">
        <x:v>0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20">
        <x:v>1</x:v>
      </x:c>
      <x:c r="J56" s="16">
        <x:v>1</x:v>
      </x:c>
      <x:c r="K56" s="6" t="str">
        <x:f t="shared" si="1"/>
        <x:v>X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20" t="n">
        <x:v>1</x:v>
      </x:c>
      <x:c r="J57" s="16" t="n">
        <x:v>1</x:v>
      </x:c>
      <x:c r="K57" s="6" t="str">
        <x:f t="shared" si="1"/>
        <x:v>X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20" t="n">
        <x:v>1</x:v>
      </x:c>
      <x:c r="J58" s="16" t="n">
        <x:v>3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20">
        <x:v>0</x:v>
      </x:c>
      <x:c r="J59" s="16">
        <x:v>0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20">
        <x:v>0</x:v>
      </x:c>
      <x:c r="J60" s="16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20">
        <x:v>1</x:v>
      </x:c>
      <x:c r="J61" s="16">
        <x:v>1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20">
        <x:v>0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20">
        <x:v>1</x:v>
      </x:c>
      <x:c r="J63" s="16">
        <x:v>2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20">
        <x:v>0</x:v>
      </x:c>
      <x:c r="J64" s="16">
        <x:v>0</x:v>
      </x:c>
      <x:c r="K64" s="6" t="str">
        <x:f t="shared" si="1"/>
        <x:v>X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20">
        <x:v>0</x:v>
      </x:c>
      <x:c r="J65" s="16">
        <x:v>2</x:v>
      </x:c>
      <x:c r="K65" s="6" t="str">
        <x:f t="shared" si="1"/>
        <x:v>2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20">
        <x:v>3</x:v>
      </x:c>
      <x:c r="J66" s="16">
        <x:v>1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20">
        <x:v>1</x:v>
      </x:c>
      <x:c r="J67" s="16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20">
        <x:v>2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20">
        <x:v>1</x:v>
      </x:c>
      <x:c r="J69" s="16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20">
        <x:v>2</x:v>
      </x:c>
      <x:c r="J70" s="16">
        <x:v>2</x:v>
      </x:c>
      <x:c r="K70" s="6" t="str">
        <x:f t="shared" si="1"/>
        <x:v>X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20">
        <x:v>0</x:v>
      </x:c>
      <x:c r="J71" s="16">
        <x:v>0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20">
        <x:v>0</x:v>
      </x:c>
      <x:c r="J72" s="16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20">
        <x:v>0</x:v>
      </x:c>
      <x:c r="J73" s="16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20">
        <x:v>1</x:v>
      </x:c>
      <x:c r="J74" s="16">
        <x:v>1</x:v>
      </x:c>
      <x:c r="K74" s="6" t="str">
        <x:f t="shared" si="2"/>
        <x:v>X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20">
        <x:v>1</x:v>
      </x:c>
      <x:c r="J75" s="16">
        <x:v>1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20">
        <x:v>0</x:v>
      </x:c>
      <x:c r="J76" s="16">
        <x:v>0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20">
        <x:v>0</x:v>
      </x:c>
      <x:c r="J77" s="16">
        <x:v>1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20">
        <x:v>0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20">
        <x:v>1</x:v>
      </x:c>
      <x:c r="J79" s="16">
        <x:v>0</x:v>
      </x:c>
      <x:c r="K79" s="6" t="str">
        <x:f t="shared" si="2"/>
        <x:v>1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20">
        <x:v>2</x:v>
      </x:c>
      <x:c r="J80" s="16">
        <x:v>3</x:v>
      </x:c>
      <x:c r="K80" s="6" t="str">
        <x:f t="shared" si="2"/>
        <x:v>2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20">
        <x:v>1</x:v>
      </x:c>
      <x:c r="J81" s="16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20">
        <x:v>1</x:v>
      </x:c>
      <x:c r="J82" s="16">
        <x:v>2</x:v>
      </x:c>
      <x:c r="K82" s="6" t="str">
        <x:f t="shared" si="2"/>
        <x:v>2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20">
        <x:v>1</x:v>
      </x:c>
      <x:c r="J83" s="16">
        <x:v>0</x:v>
      </x:c>
      <x:c r="K83" s="6" t="str">
        <x:f t="shared" si="2"/>
        <x:v>1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20">
        <x:v>4</x:v>
      </x:c>
      <x:c r="J84" s="16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20">
        <x:v>3</x:v>
      </x:c>
      <x:c r="J85" s="16">
        <x:v>1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20">
        <x:v>2</x:v>
      </x:c>
      <x:c r="J86" s="16">
        <x:v>1</x:v>
      </x:c>
      <x:c r="K86" s="6" t="str">
        <x:f t="shared" si="2"/>
        <x:v>1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20">
        <x:v>4</x:v>
      </x:c>
      <x:c r="J87" s="16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20">
        <x:v>2</x:v>
      </x:c>
      <x:c r="J88" s="16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20">
        <x:v>3</x:v>
      </x:c>
      <x:c r="J89" s="16">
        <x:v>2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20">
        <x:v>0</x:v>
      </x:c>
      <x:c r="J90" s="16">
        <x:v>1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20">
        <x:v>1</x:v>
      </x:c>
      <x:c r="J91" s="16">
        <x:v>2</x:v>
      </x:c>
      <x:c r="K91" s="6" t="str">
        <x:f t="shared" si="2"/>
        <x:v>2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20">
        <x:v>0</x:v>
      </x:c>
      <x:c r="J92" s="16">
        <x:v>2</x:v>
      </x:c>
      <x:c r="K92" s="6" t="str">
        <x:f t="shared" si="2"/>
        <x:v>2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20">
        <x:v>1</x:v>
      </x:c>
      <x:c r="J93" s="16">
        <x:v>0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20">
        <x:v>3</x:v>
      </x:c>
      <x:c r="J94" s="16">
        <x:v>1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20">
        <x:v>1</x:v>
      </x:c>
      <x:c r="J95" s="16">
        <x:v>2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20">
        <x:v>0</x:v>
      </x:c>
      <x:c r="J96" s="16">
        <x:v>1</x:v>
      </x:c>
      <x:c r="K96" s="6" t="str">
        <x:f t="shared" si="2"/>
        <x:v>2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20">
        <x:v>0</x:v>
      </x:c>
      <x:c r="J97" s="16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20">
        <x:v>5</x:v>
      </x:c>
      <x:c r="J98" s="16">
        <x:v>4</x:v>
      </x:c>
      <x:c r="K98" s="6" t="str">
        <x:f t="shared" si="2"/>
        <x:v>1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20">
        <x:v>3</x:v>
      </x:c>
      <x:c r="J99" s="16">
        <x:v>4</x:v>
      </x:c>
      <x:c r="K99" s="6" t="str">
        <x:f t="shared" si="2"/>
        <x:v>2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20">
        <x:v>6</x:v>
      </x:c>
      <x:c r="J100" s="16">
        <x:v>5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20">
        <x:v>4</x:v>
      </x:c>
      <x:c r="J101" s="16">
        <x:v>5</x:v>
      </x:c>
      <x:c r="K101" s="6" t="str">
        <x:f t="shared" si="2"/>
        <x:v>2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20">
        <x:v>4</x:v>
      </x:c>
      <x:c r="J102" s="16">
        <x:v>3</x:v>
      </x:c>
      <x:c r="K102" s="6" t="str">
        <x:f t="shared" si="2"/>
        <x:v>1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20">
        <x:v>1</x:v>
      </x:c>
      <x:c r="J103" s="16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20">
        <x:v>0</x:v>
      </x:c>
      <x:c r="J104" s="16">
        <x:v>1</x:v>
      </x:c>
      <x:c r="K104" s="6" t="str">
        <x:f t="shared" si="3"/>
        <x:v>2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20">
        <x:v>1</x:v>
      </x:c>
      <x:c r="J105" s="16">
        <x:v>3</x:v>
      </x:c>
      <x:c r="K105" s="6" t="str">
        <x:f t="shared" si="3"/>
        <x:v>2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20">
        <x:v>5</x:v>
      </x:c>
      <x:c r="J106" s="16">
        <x:v>6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20">
        <x:v>2</x:v>
      </x:c>
      <x:c r="J107" s="16">
        <x:v>3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20">
        <x:v>3</x:v>
      </x:c>
      <x:c r="J108" s="16">
        <x:v>4</x:v>
      </x:c>
      <x:c r="K108" s="6" t="str">
        <x:f t="shared" si="3"/>
        <x:v>2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20">
        <x:v>1</x:v>
      </x:c>
      <x:c r="J109" s="16">
        <x:v>3</x:v>
      </x:c>
      <x:c r="K109" s="6" t="str">
        <x:f t="shared" si="3"/>
        <x:v>2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20">
        <x:v>3</x:v>
      </x:c>
      <x:c r="J110" s="16">
        <x:v>1</x:v>
      </x:c>
      <x:c r="K110" s="6" t="str">
        <x:f t="shared" si="3"/>
        <x:v>1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23" priority="1">
      <x:formula>AND(I7&lt;&gt;"",J7&lt;&gt;"")</x:formula>
    </x:cfRule>
  </x:conditionalFormatting>
  <x:conditionalFormatting sqref="J7:J110">
    <x:cfRule type="expression" dxfId="22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5d2608e0ba44c4a"/>
  </x:tableParts>
</x:worksheet>
</file>

<file path=xl/worksheets/sheet20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291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1</x:v>
      </x:c>
      <x:c r="J7" s="16">
        <x:v>0</x:v>
      </x:c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0</x:v>
      </x:c>
      <x:c r="J8" s="16">
        <x:v>1</x:v>
      </x:c>
      <x:c r="K8" s="6" t="str">
        <x:f t="shared" si="0"/>
        <x:v>2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1</x:v>
      </x:c>
      <x:c r="J9" s="16">
        <x:v>1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0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2</x:v>
      </x:c>
      <x:c r="J11" s="16">
        <x:v>2</x:v>
      </x:c>
      <x:c r="K11" s="6" t="str">
        <x:f t="shared" si="0"/>
        <x:v>X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2</x:v>
      </x:c>
      <x:c r="J13" s="16">
        <x:v>0</x:v>
      </x:c>
      <x:c r="K13" s="6" t="str">
        <x:f t="shared" si="0"/>
        <x:v>1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0</x:v>
      </x:c>
      <x:c r="J14" s="16">
        <x:v>1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6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1</x:v>
      </x:c>
      <x:c r="J16" s="16">
        <x:v>1</x:v>
      </x:c>
      <x:c r="K16" s="6" t="str">
        <x:f t="shared" si="0"/>
        <x:v>X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0</x:v>
      </x:c>
      <x:c r="J17" s="16">
        <x:v>2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1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5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3</x:v>
      </x:c>
      <x:c r="J20" s="16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0</x:v>
      </x:c>
      <x:c r="J21" s="16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1</x:v>
      </x:c>
      <x:c r="J22" s="16">
        <x:v>1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3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1</x:v>
      </x:c>
      <x:c r="J24" s="16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4</x:v>
      </x:c>
      <x:c r="J25" s="16">
        <x:v>1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2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2</x:v>
      </x:c>
      <x:c r="J28" s="16">
        <x:v>2</x:v>
      </x:c>
      <x:c r="K28" s="6" t="str">
        <x:f t="shared" si="0"/>
        <x:v>X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0</x:v>
      </x:c>
      <x:c r="J29" s="16">
        <x:v>0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1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1</x:v>
      </x:c>
      <x:c r="J31" s="16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1</x:v>
      </x:c>
      <x:c r="J32" s="16">
        <x:v>1</x:v>
      </x:c>
      <x:c r="K32" s="6" t="str">
        <x:f t="shared" si="0"/>
        <x:v>X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0</x:v>
      </x:c>
      <x:c r="J33" s="16">
        <x:v>1</x:v>
      </x:c>
      <x:c r="K33" s="6" t="str">
        <x:f t="shared" si="0"/>
        <x:v>2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1</x:v>
      </x:c>
      <x:c r="K34" s="6" t="str">
        <x:f t="shared" si="0"/>
        <x:v>X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1</x:v>
      </x:c>
      <x:c r="J35" s="16">
        <x:v>2</x:v>
      </x:c>
      <x:c r="K35" s="6" t="str">
        <x:f t="shared" si="0"/>
        <x:v>2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0</x:v>
      </x:c>
      <x:c r="J36" s="16">
        <x:v>0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2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2</x:v>
      </x:c>
      <x:c r="J38" s="16">
        <x:v>2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2</x:v>
      </x:c>
      <x:c r="J39" s="16">
        <x:v>0</x:v>
      </x:c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3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2</x:v>
      </x:c>
      <x:c r="J41" s="16">
        <x:v>1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1</x:v>
      </x:c>
      <x:c r="J42" s="16">
        <x:v>1</x:v>
      </x:c>
      <x:c r="K42" s="6" t="str">
        <x:f t="shared" si="1"/>
        <x:v>X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1</x:v>
      </x:c>
      <x:c r="J44" s="16">
        <x:v>1</x:v>
      </x:c>
      <x:c r="K44" s="6" t="str">
        <x:f t="shared" si="1"/>
        <x:v>X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1</x:v>
      </x:c>
      <x:c r="J46" s="16">
        <x:v>1</x:v>
      </x:c>
      <x:c r="K46" s="6" t="str">
        <x:f t="shared" si="1"/>
        <x:v>X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3</x:v>
      </x:c>
      <x:c r="J47" s="16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1</x:v>
      </x:c>
      <x:c r="J49" s="16">
        <x:v>0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2</x:v>
      </x:c>
      <x:c r="J50" s="16">
        <x:v>2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1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2</x:v>
      </x:c>
      <x:c r="J52" s="16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1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1</x:v>
      </x:c>
      <x:c r="J54" s="16">
        <x:v>1</x:v>
      </x:c>
      <x:c r="K54" s="6" t="str">
        <x:f t="shared" si="1"/>
        <x:v>X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1</x:v>
      </x:c>
      <x:c r="J55" s="16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2</x:v>
      </x:c>
      <x:c r="J56" s="16">
        <x:v>1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0</x:v>
      </x:c>
      <x:c r="J57" s="16" t="n">
        <x:v>0</x:v>
      </x:c>
      <x:c r="K57" s="6" t="str">
        <x:f t="shared" si="1"/>
        <x:v>X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0</x:v>
      </x:c>
      <x:c r="J58" s="16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2</x:v>
      </x:c>
      <x:c r="J59" s="16">
        <x:v>1</x:v>
      </x:c>
      <x:c r="K59" s="6" t="str">
        <x:f t="shared" si="1"/>
        <x:v>1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2</x:v>
      </x:c>
      <x:c r="J60" s="16">
        <x:v>0</x:v>
      </x:c>
      <x:c r="K60" s="6" t="str">
        <x:f t="shared" si="1"/>
        <x:v>1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1</x:v>
      </x:c>
      <x:c r="J61" s="16">
        <x:v>1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0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0</x:v>
      </x:c>
      <x:c r="J64" s="16">
        <x:v>1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0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1</x:v>
      </x:c>
      <x:c r="J67" s="16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1</x:v>
      </x:c>
      <x:c r="K68" s="6" t="str">
        <x:f t="shared" si="1"/>
        <x:v>X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1</x:v>
      </x:c>
      <x:c r="J69" s="16">
        <x:v>0</x:v>
      </x:c>
      <x:c r="K69" s="6" t="str">
        <x:f t="shared" si="1"/>
        <x:v>1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0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2</x:v>
      </x:c>
      <x:c r="J71" s="16">
        <x:v>1</x:v>
      </x:c>
      <x:c r="K71" s="6" t="str">
        <x:f t="shared" ref="K71:K102" si="2">IF(OR(I71="",J71=""),"",IF(I71&gt;J71,"1",IF(I71=J71,"X","2")))</x:f>
        <x:v>1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2</x:v>
      </x:c>
      <x:c r="J72" s="16">
        <x:v>2</x:v>
      </x:c>
      <x:c r="K72" s="6" t="str">
        <x:f t="shared" si="2"/>
        <x:v>X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1</x:v>
      </x:c>
      <x:c r="J74" s="16">
        <x:v>2</x:v>
      </x:c>
      <x:c r="K74" s="6" t="str">
        <x:f t="shared" si="2"/>
        <x:v>2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0</x:v>
      </x:c>
      <x:c r="J75" s="16">
        <x:v>1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2</x:v>
      </x:c>
      <x:c r="J76" s="16">
        <x:v>1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1</x:v>
      </x:c>
      <x:c r="J77" s="16">
        <x:v>1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0</x:v>
      </x:c>
      <x:c r="J79" s="16">
        <x:v>0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0</x:v>
      </x:c>
      <x:c r="J80" s="16">
        <x:v>0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0</x:v>
      </x:c>
      <x:c r="J81" s="16">
        <x:v>0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0</x:v>
      </x:c>
      <x:c r="J82" s="16">
        <x:v>0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0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0</x:v>
      </x:c>
      <x:c r="J84" s="16">
        <x:v>0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0</x:v>
      </x:c>
      <x:c r="J85" s="16">
        <x:v>0</x:v>
      </x:c>
      <x:c r="K85" s="6" t="str">
        <x:f t="shared" si="2"/>
        <x:v>X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0</x:v>
      </x:c>
      <x:c r="J86" s="16">
        <x:v>0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0</x:v>
      </x:c>
      <x:c r="J87" s="16">
        <x:v>0</x:v>
      </x:c>
      <x:c r="K87" s="6" t="str">
        <x:f t="shared" si="2"/>
        <x:v>X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0</x:v>
      </x:c>
      <x:c r="J88" s="16">
        <x:v>0</x:v>
      </x:c>
      <x:c r="K88" s="6" t="str">
        <x:f t="shared" si="2"/>
        <x:v>X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0</x:v>
      </x:c>
      <x:c r="J89" s="16">
        <x:v>0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0</x:v>
      </x:c>
      <x:c r="J90" s="16">
        <x:v>0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0</x:v>
      </x:c>
      <x:c r="J91" s="16">
        <x:v>0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0</x:v>
      </x:c>
      <x:c r="J92" s="16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0</x:v>
      </x:c>
      <x:c r="J93" s="16">
        <x:v>0</x:v>
      </x:c>
      <x:c r="K93" s="6" t="str">
        <x:f t="shared" si="2"/>
        <x:v>X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0</x:v>
      </x:c>
      <x:c r="J94" s="16">
        <x:v>0</x:v>
      </x:c>
      <x:c r="K94" s="6" t="str">
        <x:f t="shared" si="2"/>
        <x:v>X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0</x:v>
      </x:c>
      <x:c r="J95" s="16">
        <x:v>0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0</x:v>
      </x:c>
      <x:c r="K96" s="6" t="str">
        <x:f t="shared" si="2"/>
        <x:v>X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0</x:v>
      </x:c>
      <x:c r="J97" s="16">
        <x:v>0</x:v>
      </x:c>
      <x:c r="K97" s="6" t="str">
        <x:f t="shared" si="2"/>
        <x:v>X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0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0</x:v>
      </x:c>
      <x:c r="J99" s="16">
        <x:v>0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0</x:v>
      </x:c>
      <x:c r="J100" s="16">
        <x:v>0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0</x:v>
      </x:c>
      <x:c r="J101" s="16">
        <x:v>0</x:v>
      </x:c>
      <x:c r="K101" s="6" t="str">
        <x:f t="shared" si="2"/>
        <x:v>X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0</x:v>
      </x:c>
      <x:c r="J102" s="16">
        <x:v>0</x:v>
      </x:c>
      <x:c r="K102" s="6" t="str">
        <x:f t="shared" si="2"/>
        <x:v>X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0</x:v>
      </x:c>
      <x:c r="J103" s="16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0</x:v>
      </x:c>
      <x:c r="J104" s="16">
        <x:v>0</x:v>
      </x:c>
      <x:c r="K104" s="6" t="str">
        <x:f t="shared" si="3"/>
        <x:v>X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0</x:v>
      </x:c>
      <x:c r="J105" s="16">
        <x:v>0</x:v>
      </x:c>
      <x:c r="K105" s="6" t="str">
        <x:f t="shared" si="3"/>
        <x:v>X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0</x:v>
      </x:c>
      <x:c r="J106" s="16">
        <x:v>0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0</x:v>
      </x:c>
      <x:c r="J107" s="16">
        <x:v>0</x:v>
      </x:c>
      <x:c r="K107" s="6" t="str">
        <x:f t="shared" si="3"/>
        <x:v>X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0</x:v>
      </x:c>
      <x:c r="J108" s="16">
        <x:v>0</x:v>
      </x:c>
      <x:c r="K108" s="6" t="str">
        <x:f t="shared" si="3"/>
        <x:v>X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0</x:v>
      </x:c>
      <x:c r="J109" s="16">
        <x:v>0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0</x:v>
      </x:c>
      <x:c r="J110" s="16">
        <x:v>0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19" priority="1">
      <x:formula>AND(I7&lt;&gt;"",J7&lt;&gt;"")</x:formula>
    </x:cfRule>
  </x:conditionalFormatting>
  <x:conditionalFormatting sqref="J7:J110">
    <x:cfRule type="expression" dxfId="18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c5f941edc1b4e18"/>
  </x:tableParts>
</x:worksheet>
</file>

<file path=xl/worksheets/sheet21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292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1</x:v>
      </x:c>
      <x:c r="J8" s="16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2</x:v>
      </x:c>
      <x:c r="J9" s="16">
        <x:v>0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1</x:v>
      </x:c>
      <x:c r="K10" s="6" t="str">
        <x:f t="shared" si="0"/>
        <x:v>X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1</x:v>
      </x:c>
      <x:c r="J13" s="16">
        <x:v>1</x:v>
      </x:c>
      <x:c r="K13" s="6" t="str">
        <x:f t="shared" si="0"/>
        <x:v>X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1</x:v>
      </x:c>
      <x:c r="K14" s="6" t="str">
        <x:f t="shared" si="0"/>
        <x:v>X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3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1</x:v>
      </x:c>
      <x:c r="J16" s="16">
        <x:v>1</x:v>
      </x:c>
      <x:c r="K16" s="6" t="str">
        <x:f t="shared" si="0"/>
        <x:v>X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0</x:v>
      </x:c>
      <x:c r="J17" s="16">
        <x:v>0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1</x:v>
      </x:c>
      <x:c r="J18" s="16">
        <x:v>1</x:v>
      </x:c>
      <x:c r="K18" s="6" t="str">
        <x:f t="shared" si="0"/>
        <x:v>X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3</x:v>
      </x:c>
      <x:c r="J19" s="16">
        <x:v>1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0</x:v>
      </x:c>
      <x:c r="J20" s="16">
        <x:v>0</x:v>
      </x:c>
      <x:c r="K20" s="6" t="str">
        <x:f t="shared" si="0"/>
        <x:v>X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0</x:v>
      </x:c>
      <x:c r="J21" s="16">
        <x:v>0</x:v>
      </x:c>
      <x:c r="K21" s="6" t="str">
        <x:f t="shared" si="0"/>
        <x:v>X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0</x:v>
      </x:c>
      <x:c r="J22" s="16">
        <x:v>1</x:v>
      </x:c>
      <x:c r="K22" s="6" t="str">
        <x:f t="shared" si="0"/>
        <x:v>2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3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1</x:v>
      </x:c>
      <x:c r="J24" s="16">
        <x:v>1</x:v>
      </x:c>
      <x:c r="K24" s="6" t="str">
        <x:f t="shared" si="0"/>
        <x:v>X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1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1</x:v>
      </x:c>
      <x:c r="K26" s="6" t="str">
        <x:f t="shared" si="0"/>
        <x:v>X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3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2</x:v>
      </x:c>
      <x:c r="J28" s="16">
        <x:v>0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0</x:v>
      </x:c>
      <x:c r="J29" s="16">
        <x:v>0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1</x:v>
      </x:c>
      <x:c r="J30" s="16">
        <x:v>0</x:v>
      </x:c>
      <x:c r="K30" s="6" t="str">
        <x:f t="shared" si="0"/>
        <x:v>1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3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2</x:v>
      </x:c>
      <x:c r="J33" s="16">
        <x:v>1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2</x:v>
      </x:c>
      <x:c r="J34" s="16">
        <x:v>2</x:v>
      </x:c>
      <x:c r="K34" s="6" t="str">
        <x:f t="shared" si="0"/>
        <x:v>X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1</x:v>
      </x:c>
      <x:c r="J35" s="16">
        <x:v>1</x:v>
      </x:c>
      <x:c r="K35" s="6" t="str">
        <x:f t="shared" si="0"/>
        <x:v>X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1</x:v>
      </x:c>
      <x:c r="J36" s="16">
        <x:v>2</x:v>
      </x:c>
      <x:c r="K36" s="6" t="str">
        <x:f t="shared" si="0"/>
        <x:v>2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4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2</x:v>
      </x:c>
      <x:c r="J38" s="16">
        <x:v>1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2</x:v>
      </x:c>
      <x:c r="J39" s="16">
        <x:v>0</x:v>
      </x:c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4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1</x:v>
      </x:c>
      <x:c r="J41" s="16">
        <x:v>1</x:v>
      </x:c>
      <x:c r="K41" s="6" t="str">
        <x:f t="shared" si="1"/>
        <x:v>X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0</x:v>
      </x:c>
      <x:c r="J42" s="16">
        <x:v>1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1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1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1</x:v>
      </x:c>
      <x:c r="J46" s="16">
        <x:v>0</x:v>
      </x:c>
      <x:c r="K46" s="6" t="str">
        <x:f t="shared" si="1"/>
        <x:v>1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2</x:v>
      </x:c>
      <x:c r="J47" s="16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3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0</x:v>
      </x:c>
      <x:c r="J50" s="16">
        <x:v>0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2</x:v>
      </x:c>
      <x:c r="J52" s="16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2</x:v>
      </x:c>
      <x:c r="J54" s="16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1</x:v>
      </x:c>
      <x:c r="J55" s="16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0</x:v>
      </x:c>
      <x:c r="J56" s="16">
        <x:v>1</x:v>
      </x:c>
      <x:c r="K56" s="6" t="str">
        <x:f t="shared" si="1"/>
        <x:v>2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1</x:v>
      </x:c>
      <x:c r="J57" s="16" t="n">
        <x:v>1</x:v>
      </x:c>
      <x:c r="K57" s="6" t="str">
        <x:f t="shared" si="1"/>
        <x:v>X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1</x:v>
      </x:c>
      <x:c r="K59" s="6" t="str">
        <x:f t="shared" si="1"/>
        <x:v>X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1</x:v>
      </x:c>
      <x:c r="J60" s="16">
        <x:v>1</x:v>
      </x:c>
      <x:c r="K60" s="6" t="str">
        <x:f t="shared" si="1"/>
        <x:v>X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0</x:v>
      </x:c>
      <x:c r="J61" s="16">
        <x:v>0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2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2</x:v>
      </x:c>
      <x:c r="J64" s="16">
        <x:v>2</x:v>
      </x:c>
      <x:c r="K64" s="6" t="str">
        <x:f t="shared" si="1"/>
        <x:v>X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1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1</x:v>
      </x:c>
      <x:c r="J67" s="16">
        <x:v>2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2</x:v>
      </x:c>
      <x:c r="J68" s="16">
        <x:v>1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2</x:v>
      </x:c>
      <x:c r="J69" s="16">
        <x:v>2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3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1</x:v>
      </x:c>
      <x:c r="J71" s="16">
        <x:v>1</x:v>
      </x:c>
      <x:c r="K71" s="6" t="str">
        <x:f t="shared" ref="K71:K102" si="2">IF(OR(I71="",J71=""),"",IF(I71&gt;J71,"1",IF(I71=J71,"X","2")))</x:f>
        <x:v>X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1</x:v>
      </x:c>
      <x:c r="J72" s="16">
        <x:v>0</x:v>
      </x:c>
      <x:c r="K72" s="6" t="str">
        <x:f t="shared" si="2"/>
        <x:v>1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1</x:v>
      </x:c>
      <x:c r="J73" s="16">
        <x:v>1</x:v>
      </x:c>
      <x:c r="K73" s="6" t="str">
        <x:f t="shared" si="2"/>
        <x:v>X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1</x:v>
      </x:c>
      <x:c r="J75" s="16">
        <x:v>3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0</x:v>
      </x:c>
      <x:c r="J77" s="16">
        <x:v>0</x:v>
      </x:c>
      <x:c r="K77" s="6" t="str">
        <x:f t="shared" si="2"/>
        <x:v>X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4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0</x:v>
      </x:c>
      <x:c r="J79" s="16">
        <x:v>0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0</x:v>
      </x:c>
      <x:c r="J80" s="16">
        <x:v>0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0</x:v>
      </x:c>
      <x:c r="J81" s="16">
        <x:v>0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0</x:v>
      </x:c>
      <x:c r="J82" s="16">
        <x:v>0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0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0</x:v>
      </x:c>
      <x:c r="J84" s="16">
        <x:v>0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0</x:v>
      </x:c>
      <x:c r="J85" s="16">
        <x:v>0</x:v>
      </x:c>
      <x:c r="K85" s="6" t="str">
        <x:f t="shared" si="2"/>
        <x:v>X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0</x:v>
      </x:c>
      <x:c r="J86" s="16">
        <x:v>0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0</x:v>
      </x:c>
      <x:c r="J87" s="16">
        <x:v>0</x:v>
      </x:c>
      <x:c r="K87" s="6" t="str">
        <x:f t="shared" si="2"/>
        <x:v>X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0</x:v>
      </x:c>
      <x:c r="J88" s="16">
        <x:v>0</x:v>
      </x:c>
      <x:c r="K88" s="6" t="str">
        <x:f t="shared" si="2"/>
        <x:v>X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0</x:v>
      </x:c>
      <x:c r="J89" s="16">
        <x:v>0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0</x:v>
      </x:c>
      <x:c r="J90" s="16">
        <x:v>0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0</x:v>
      </x:c>
      <x:c r="J91" s="16">
        <x:v>0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0</x:v>
      </x:c>
      <x:c r="J92" s="16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0</x:v>
      </x:c>
      <x:c r="J93" s="16">
        <x:v>0</x:v>
      </x:c>
      <x:c r="K93" s="6" t="str">
        <x:f t="shared" si="2"/>
        <x:v>X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0</x:v>
      </x:c>
      <x:c r="J94" s="16">
        <x:v>0</x:v>
      </x:c>
      <x:c r="K94" s="6" t="str">
        <x:f t="shared" si="2"/>
        <x:v>X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0</x:v>
      </x:c>
      <x:c r="J95" s="16">
        <x:v>0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0</x:v>
      </x:c>
      <x:c r="K96" s="6" t="str">
        <x:f t="shared" si="2"/>
        <x:v>X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0</x:v>
      </x:c>
      <x:c r="J97" s="16">
        <x:v>0</x:v>
      </x:c>
      <x:c r="K97" s="6" t="str">
        <x:f t="shared" si="2"/>
        <x:v>X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0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0</x:v>
      </x:c>
      <x:c r="J99" s="16">
        <x:v>0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0</x:v>
      </x:c>
      <x:c r="J100" s="16">
        <x:v>0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0</x:v>
      </x:c>
      <x:c r="J101" s="16">
        <x:v>0</x:v>
      </x:c>
      <x:c r="K101" s="6" t="str">
        <x:f t="shared" si="2"/>
        <x:v>X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0</x:v>
      </x:c>
      <x:c r="J102" s="16">
        <x:v>0</x:v>
      </x:c>
      <x:c r="K102" s="6" t="str">
        <x:f t="shared" si="2"/>
        <x:v>X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0</x:v>
      </x:c>
      <x:c r="J103" s="16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0</x:v>
      </x:c>
      <x:c r="J104" s="16">
        <x:v>0</x:v>
      </x:c>
      <x:c r="K104" s="6" t="str">
        <x:f t="shared" si="3"/>
        <x:v>X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0</x:v>
      </x:c>
      <x:c r="J105" s="16">
        <x:v>0</x:v>
      </x:c>
      <x:c r="K105" s="6" t="str">
        <x:f t="shared" si="3"/>
        <x:v>X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0</x:v>
      </x:c>
      <x:c r="J106" s="16">
        <x:v>0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0</x:v>
      </x:c>
      <x:c r="J107" s="16">
        <x:v>0</x:v>
      </x:c>
      <x:c r="K107" s="6" t="str">
        <x:f t="shared" si="3"/>
        <x:v>X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0</x:v>
      </x:c>
      <x:c r="J108" s="16">
        <x:v>0</x:v>
      </x:c>
      <x:c r="K108" s="6" t="str">
        <x:f t="shared" si="3"/>
        <x:v>X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0</x:v>
      </x:c>
      <x:c r="J109" s="16">
        <x:v>0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0</x:v>
      </x:c>
      <x:c r="J110" s="16">
        <x:v>0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15" priority="1">
      <x:formula>AND(I7&lt;&gt;"",J7&lt;&gt;"")</x:formula>
    </x:cfRule>
  </x:conditionalFormatting>
  <x:conditionalFormatting sqref="J7:J110">
    <x:cfRule type="expression" dxfId="14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8f14779560e4533"/>
  </x:tableParts>
</x:worksheet>
</file>

<file path=xl/worksheets/sheet22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293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2</x:v>
      </x:c>
      <x:c r="J8" s="16">
        <x:v>2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1</x:v>
      </x:c>
      <x:c r="J9" s="16">
        <x:v>1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2</x:v>
      </x:c>
      <x:c r="K10" s="6" t="str">
        <x:f t="shared" si="0"/>
        <x:v>2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3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2</x:v>
      </x:c>
      <x:c r="J12" s="16">
        <x:v>0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1</x:v>
      </x:c>
      <x:c r="J13" s="16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1</x:v>
      </x:c>
      <x:c r="K14" s="6" t="str">
        <x:f t="shared" si="0"/>
        <x:v>X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3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2</x:v>
      </x:c>
      <x:c r="J16" s="16">
        <x:v>2</x:v>
      </x:c>
      <x:c r="K16" s="6" t="str">
        <x:f t="shared" si="0"/>
        <x:v>X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3</x:v>
      </x:c>
      <x:c r="K17" s="6" t="str">
        <x:f t="shared" si="0"/>
        <x:v>2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1</x:v>
      </x:c>
      <x:c r="J18" s="16">
        <x:v>1</x:v>
      </x:c>
      <x:c r="K18" s="6" t="str">
        <x:f t="shared" si="0"/>
        <x:v>X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4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1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0</x:v>
      </x:c>
      <x:c r="J22" s="16">
        <x:v>0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3</x:v>
      </x:c>
      <x:c r="J23" s="16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1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2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2</x:v>
      </x:c>
      <x:c r="J28" s="16">
        <x:v>1</x:v>
      </x:c>
      <x:c r="K28" s="6" t="str">
        <x:f t="shared" si="0"/>
        <x:v>1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2</x:v>
      </x:c>
      <x:c r="J29" s="16">
        <x:v>0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1</x:v>
      </x:c>
      <x:c r="J30" s="16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0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1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2</x:v>
      </x:c>
      <x:c r="J33" s="16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1</x:v>
      </x:c>
      <x:c r="J34" s="16">
        <x:v>1</x:v>
      </x:c>
      <x:c r="K34" s="6" t="str">
        <x:f t="shared" si="0"/>
        <x:v>X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2</x:v>
      </x:c>
      <x:c r="J35" s="16">
        <x:v>2</x:v>
      </x:c>
      <x:c r="K35" s="6" t="str">
        <x:f t="shared" si="0"/>
        <x:v>X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1</x:v>
      </x:c>
      <x:c r="J36" s="16">
        <x:v>1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1</x:v>
      </x:c>
      <x:c r="J38" s="16">
        <x:v>1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2</x:v>
      </x:c>
      <x:c r="J39" s="16">
        <x:v>0</x:v>
      </x:c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4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1</x:v>
      </x:c>
      <x:c r="J41" s="16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1</x:v>
      </x:c>
      <x:c r="J42" s="16">
        <x:v>3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1</x:v>
      </x:c>
      <x:c r="J44" s="16">
        <x:v>1</x:v>
      </x:c>
      <x:c r="K44" s="6" t="str">
        <x:f t="shared" si="1"/>
        <x:v>X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3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0</x:v>
      </x:c>
      <x:c r="J46" s="16">
        <x:v>1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1</x:v>
      </x:c>
      <x:c r="J47" s="16">
        <x:v>1</x:v>
      </x:c>
      <x:c r="K47" s="6" t="str">
        <x:f t="shared" si="1"/>
        <x:v>X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1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1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4</x:v>
      </x:c>
      <x:c r="J52" s="16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1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1</x:v>
      </x:c>
      <x:c r="J54" s="16">
        <x:v>2</x:v>
      </x:c>
      <x:c r="K54" s="6" t="str">
        <x:f t="shared" si="1"/>
        <x:v>2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2</x:v>
      </x:c>
      <x:c r="J55" s="16">
        <x:v>0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2</x:v>
      </x:c>
      <x:c r="J56" s="16">
        <x:v>0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1</x:v>
      </x:c>
      <x:c r="J57" s="16" t="n">
        <x:v>1</x:v>
      </x:c>
      <x:c r="K57" s="6" t="str">
        <x:f t="shared" si="1"/>
        <x:v>X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3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1</x:v>
      </x:c>
      <x:c r="J60" s="16">
        <x:v>2</x:v>
      </x:c>
      <x:c r="K60" s="6" t="str">
        <x:f t="shared" si="1"/>
        <x:v>2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0</x:v>
      </x:c>
      <x:c r="J61" s="16">
        <x:v>0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1</x:v>
      </x:c>
      <x:c r="K62" s="6" t="str">
        <x:f t="shared" si="1"/>
        <x:v>X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1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1</x:v>
      </x:c>
      <x:c r="J64" s="16">
        <x:v>3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0</x:v>
      </x:c>
      <x:c r="K65" s="6" t="str">
        <x:f t="shared" si="1"/>
        <x:v>1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3</x:v>
      </x:c>
      <x:c r="J66" s="16">
        <x:v>1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1</x:v>
      </x:c>
      <x:c r="J67" s="16">
        <x:v>1</x:v>
      </x:c>
      <x:c r="K67" s="6" t="str">
        <x:f t="shared" si="1"/>
        <x:v>X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2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1</x:v>
      </x:c>
      <x:c r="J69" s="16">
        <x:v>2</x:v>
      </x:c>
      <x:c r="K69" s="6" t="str">
        <x:f t="shared" si="1"/>
        <x:v>2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1</x:v>
      </x:c>
      <x:c r="K70" s="6" t="str">
        <x:f t="shared" si="1"/>
        <x:v>X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1</x:v>
      </x:c>
      <x:c r="J71" s="16">
        <x:v>2</x:v>
      </x:c>
      <x:c r="K71" s="6" t="str">
        <x:f t="shared" ref="K71:K102" si="2">IF(OR(I71="",J71=""),"",IF(I71&gt;J71,"1",IF(I71=J71,"X","2")))</x:f>
        <x:v>2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1</x:v>
      </x:c>
      <x:c r="J72" s="16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0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2</x:v>
      </x:c>
      <x:c r="J75" s="16">
        <x:v>2</x:v>
      </x:c>
      <x:c r="K75" s="6" t="str">
        <x:f t="shared" si="2"/>
        <x:v>X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0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1</x:v>
      </x:c>
      <x:c r="J77" s="16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2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0</x:v>
      </x:c>
      <x:c r="J79" s="16">
        <x:v>0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0</x:v>
      </x:c>
      <x:c r="J80" s="16">
        <x:v>0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0</x:v>
      </x:c>
      <x:c r="J81" s="16">
        <x:v>0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0</x:v>
      </x:c>
      <x:c r="J82" s="16">
        <x:v>0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0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0</x:v>
      </x:c>
      <x:c r="J84" s="16">
        <x:v>0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0</x:v>
      </x:c>
      <x:c r="J85" s="16">
        <x:v>0</x:v>
      </x:c>
      <x:c r="K85" s="6" t="str">
        <x:f t="shared" si="2"/>
        <x:v>X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0</x:v>
      </x:c>
      <x:c r="J86" s="16">
        <x:v>0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0</x:v>
      </x:c>
      <x:c r="J87" s="16">
        <x:v>0</x:v>
      </x:c>
      <x:c r="K87" s="6" t="str">
        <x:f t="shared" si="2"/>
        <x:v>X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0</x:v>
      </x:c>
      <x:c r="J88" s="16">
        <x:v>0</x:v>
      </x:c>
      <x:c r="K88" s="6" t="str">
        <x:f t="shared" si="2"/>
        <x:v>X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0</x:v>
      </x:c>
      <x:c r="J89" s="16">
        <x:v>0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0</x:v>
      </x:c>
      <x:c r="J90" s="16">
        <x:v>0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0</x:v>
      </x:c>
      <x:c r="J91" s="16">
        <x:v>0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0</x:v>
      </x:c>
      <x:c r="J92" s="16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0</x:v>
      </x:c>
      <x:c r="J93" s="16">
        <x:v>0</x:v>
      </x:c>
      <x:c r="K93" s="6" t="str">
        <x:f t="shared" si="2"/>
        <x:v>X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0</x:v>
      </x:c>
      <x:c r="J94" s="16">
        <x:v>0</x:v>
      </x:c>
      <x:c r="K94" s="6" t="str">
        <x:f t="shared" si="2"/>
        <x:v>X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0</x:v>
      </x:c>
      <x:c r="J95" s="16">
        <x:v>0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0</x:v>
      </x:c>
      <x:c r="K96" s="6" t="str">
        <x:f t="shared" si="2"/>
        <x:v>X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0</x:v>
      </x:c>
      <x:c r="J97" s="16">
        <x:v>0</x:v>
      </x:c>
      <x:c r="K97" s="6" t="str">
        <x:f t="shared" si="2"/>
        <x:v>X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0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0</x:v>
      </x:c>
      <x:c r="J99" s="16">
        <x:v>0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0</x:v>
      </x:c>
      <x:c r="J100" s="16">
        <x:v>0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0</x:v>
      </x:c>
      <x:c r="J101" s="16">
        <x:v>0</x:v>
      </x:c>
      <x:c r="K101" s="6" t="str">
        <x:f t="shared" si="2"/>
        <x:v>X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0</x:v>
      </x:c>
      <x:c r="J102" s="16">
        <x:v>0</x:v>
      </x:c>
      <x:c r="K102" s="6" t="str">
        <x:f t="shared" si="2"/>
        <x:v>X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0</x:v>
      </x:c>
      <x:c r="J103" s="16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0</x:v>
      </x:c>
      <x:c r="J104" s="16">
        <x:v>0</x:v>
      </x:c>
      <x:c r="K104" s="6" t="str">
        <x:f t="shared" si="3"/>
        <x:v>X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0</x:v>
      </x:c>
      <x:c r="J105" s="16">
        <x:v>0</x:v>
      </x:c>
      <x:c r="K105" s="6" t="str">
        <x:f t="shared" si="3"/>
        <x:v>X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0</x:v>
      </x:c>
      <x:c r="J106" s="16">
        <x:v>0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0</x:v>
      </x:c>
      <x:c r="J107" s="16">
        <x:v>0</x:v>
      </x:c>
      <x:c r="K107" s="6" t="str">
        <x:f t="shared" si="3"/>
        <x:v>X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0</x:v>
      </x:c>
      <x:c r="J108" s="16">
        <x:v>0</x:v>
      </x:c>
      <x:c r="K108" s="6" t="str">
        <x:f t="shared" si="3"/>
        <x:v>X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0</x:v>
      </x:c>
      <x:c r="J109" s="16">
        <x:v>0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0</x:v>
      </x:c>
      <x:c r="J110" s="16">
        <x:v>0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11" priority="1">
      <x:formula>AND(I7&lt;&gt;"",J7&lt;&gt;"")</x:formula>
    </x:cfRule>
  </x:conditionalFormatting>
  <x:conditionalFormatting sqref="J7:J110">
    <x:cfRule type="expression" dxfId="10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7f83df6f1544b0a"/>
  </x:tableParts>
</x:worksheet>
</file>

<file path=xl/worksheets/sheet23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294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3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2</x:v>
      </x:c>
      <x:c r="J8" s="16">
        <x:v>2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0</x:v>
      </x:c>
      <x:c r="J9" s="16">
        <x:v>1</x:v>
      </x:c>
      <x:c r="K9" s="6" t="str">
        <x:f t="shared" si="0"/>
        <x:v>2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1</x:v>
      </x:c>
      <x:c r="J10" s="16">
        <x:v>0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3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0</x:v>
      </x:c>
      <x:c r="J13" s="16">
        <x:v>2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1</x:v>
      </x:c>
      <x:c r="K14" s="6" t="str">
        <x:f t="shared" si="0"/>
        <x:v>X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5</x:v>
      </x:c>
      <x:c r="J15" s="16">
        <x:v>1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3</x:v>
      </x:c>
      <x:c r="J16" s="16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0</x:v>
      </x:c>
      <x:c r="J17" s="16">
        <x:v>0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1</x:v>
      </x:c>
      <x:c r="J18" s="16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2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2</x:v>
      </x:c>
      <x:c r="J20" s="16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3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0</x:v>
      </x:c>
      <x:c r="J22" s="16">
        <x:v>0</x:v>
      </x:c>
      <x:c r="K22" s="6" t="str">
        <x:f t="shared" si="0"/>
        <x:v>X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2</x:v>
      </x:c>
      <x:c r="J26" s="16">
        <x:v>1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4</x:v>
      </x:c>
      <x:c r="J27" s="16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1</x:v>
      </x:c>
      <x:c r="J28" s="16">
        <x:v>2</x:v>
      </x:c>
      <x:c r="K28" s="6" t="str">
        <x:f t="shared" si="0"/>
        <x:v>2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2</x:v>
      </x:c>
      <x:c r="J29" s="16">
        <x:v>2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1</x:v>
      </x:c>
      <x:c r="J31" s="16">
        <x:v>1</x:v>
      </x:c>
      <x:c r="K31" s="6" t="str">
        <x:f t="shared" si="0"/>
        <x:v>X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3</x:v>
      </x:c>
      <x:c r="J33" s="16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2</x:v>
      </x:c>
      <x:c r="J34" s="16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2</x:v>
      </x:c>
      <x:c r="J35" s="16">
        <x:v>2</x:v>
      </x:c>
      <x:c r="K35" s="6" t="str">
        <x:f t="shared" si="0"/>
        <x:v>X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1</x:v>
      </x:c>
      <x:c r="J36" s="16">
        <x:v>1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1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2</x:v>
      </x:c>
      <x:c r="J38" s="16">
        <x:v>1</x:v>
      </x:c>
      <x:c r="K38" s="6" t="str">
        <x:f t="shared" si="0"/>
        <x:v>1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1</x:v>
      </x:c>
      <x:c r="J39" s="16">
        <x:v>1</x:v>
      </x:c>
      <x:c r="K39" s="6" t="str">
        <x:f t="shared" ref="K39:K70" si="1">IF(OR(I39="",J39=""),"",IF(I39&gt;J39,"1",IF(I39=J39,"X","2")))</x:f>
        <x:v>X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3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3</x:v>
      </x:c>
      <x:c r="J41" s="16">
        <x:v>1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0</x:v>
      </x:c>
      <x:c r="J42" s="16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5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3</x:v>
      </x:c>
      <x:c r="J44" s="16">
        <x:v>1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2</x:v>
      </x:c>
      <x:c r="J45" s="16">
        <x:v>1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0</x:v>
      </x:c>
      <x:c r="J46" s="16">
        <x:v>1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4</x:v>
      </x:c>
      <x:c r="J47" s="16">
        <x:v>0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3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1</x:v>
      </x:c>
      <x:c r="J49" s="16">
        <x:v>0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3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2</x:v>
      </x:c>
      <x:c r="J52" s="16">
        <x:v>1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1</x:v>
      </x:c>
      <x:c r="J53" s="16">
        <x:v>3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2</x:v>
      </x:c>
      <x:c r="J54" s="16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1</x:v>
      </x:c>
      <x:c r="J55" s="16">
        <x:v>1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2</x:v>
      </x:c>
      <x:c r="J56" s="16">
        <x:v>1</x:v>
      </x:c>
      <x:c r="K56" s="6" t="str">
        <x:f t="shared" si="1"/>
        <x:v>1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2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3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1</x:v>
      </x:c>
      <x:c r="J60" s="16">
        <x:v>0</x:v>
      </x:c>
      <x:c r="K60" s="6" t="str">
        <x:f t="shared" si="1"/>
        <x:v>1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0</x:v>
      </x:c>
      <x:c r="J61" s="16">
        <x:v>3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1</x:v>
      </x:c>
      <x:c r="K62" s="6" t="str">
        <x:f t="shared" si="1"/>
        <x:v>X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3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0</x:v>
      </x:c>
      <x:c r="J64" s="16">
        <x:v>1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2</x:v>
      </x:c>
      <x:c r="J65" s="16">
        <x:v>2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2</x:v>
      </x:c>
      <x:c r="J67" s="16">
        <x:v>2</x:v>
      </x:c>
      <x:c r="K67" s="6" t="str">
        <x:f t="shared" si="1"/>
        <x:v>X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2</x:v>
      </x:c>
      <x:c r="J69" s="16">
        <x:v>2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2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1</x:v>
      </x:c>
      <x:c r="J71" s="16">
        <x:v>2</x:v>
      </x:c>
      <x:c r="K71" s="6" t="str">
        <x:f t="shared" ref="K71:K102" si="2">IF(OR(I71="",J71=""),"",IF(I71&gt;J71,"1",IF(I71=J71,"X","2")))</x:f>
        <x:v>2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0</x:v>
      </x:c>
      <x:c r="J72" s="16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1</x:v>
      </x:c>
      <x:c r="J73" s="16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1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1</x:v>
      </x:c>
      <x:c r="J75" s="16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0</x:v>
      </x:c>
      <x:c r="J76" s="16">
        <x:v>0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0</x:v>
      </x:c>
      <x:c r="J77" s="16">
        <x:v>1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0</x:v>
      </x:c>
      <x:c r="J79" s="16">
        <x:v>0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2</x:v>
      </x:c>
      <x:c r="J80" s="16">
        <x:v>1</x:v>
      </x:c>
      <x:c r="K80" s="6" t="str">
        <x:f t="shared" si="2"/>
        <x:v>1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2</x:v>
      </x:c>
      <x:c r="J81" s="16">
        <x:v>1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1</x:v>
      </x:c>
      <x:c r="J82" s="16">
        <x:v>1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0</x:v>
      </x:c>
      <x:c r="J83" s="16">
        <x:v>0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2</x:v>
      </x:c>
      <x:c r="J84" s="16">
        <x:v>1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3</x:v>
      </x:c>
      <x:c r="J85" s="16">
        <x:v>1</x:v>
      </x:c>
      <x:c r="K85" s="6" t="str">
        <x:f t="shared" si="2"/>
        <x:v>1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2</x:v>
      </x:c>
      <x:c r="J86" s="16">
        <x:v>2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4</x:v>
      </x:c>
      <x:c r="J87" s="16">
        <x:v>1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0</x:v>
      </x:c>
      <x:c r="J88" s="16">
        <x:v>1</x:v>
      </x:c>
      <x:c r="K88" s="6" t="str">
        <x:f t="shared" si="2"/>
        <x:v>2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2</x:v>
      </x:c>
      <x:c r="J89" s="16">
        <x:v>1</x:v>
      </x:c>
      <x:c r="K89" s="6" t="str">
        <x:f t="shared" si="2"/>
        <x:v>1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0</x:v>
      </x:c>
      <x:c r="J90" s="16">
        <x:v>1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1</x:v>
      </x:c>
      <x:c r="J91" s="16">
        <x:v>1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2</x:v>
      </x:c>
      <x:c r="J92" s="16">
        <x:v>0</x:v>
      </x:c>
      <x:c r="K92" s="6" t="str">
        <x:f t="shared" si="2"/>
        <x:v>1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2</x:v>
      </x:c>
      <x:c r="J93" s="16">
        <x:v>0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1</x:v>
      </x:c>
      <x:c r="J94" s="16">
        <x:v>0</x:v>
      </x:c>
      <x:c r="K94" s="6" t="str">
        <x:f t="shared" si="2"/>
        <x:v>1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1</x:v>
      </x:c>
      <x:c r="J95" s="16">
        <x:v>1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1</x:v>
      </x:c>
      <x:c r="K96" s="6" t="str">
        <x:f t="shared" si="2"/>
        <x:v>2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1</x:v>
      </x:c>
      <x:c r="J97" s="16">
        <x:v>2</x:v>
      </x:c>
      <x:c r="K97" s="6" t="str">
        <x:f t="shared" si="2"/>
        <x:v>2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2</x:v>
      </x:c>
      <x:c r="J98" s="16">
        <x:v>1</x:v>
      </x:c>
      <x:c r="K98" s="6" t="str">
        <x:f t="shared" si="2"/>
        <x:v>1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1</x:v>
      </x:c>
      <x:c r="J99" s="16">
        <x:v>1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0</x:v>
      </x:c>
      <x:c r="J100" s="16">
        <x:v>0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3</x:v>
      </x:c>
      <x:c r="J101" s="16">
        <x:v>1</x:v>
      </x:c>
      <x:c r="K101" s="6" t="str">
        <x:f t="shared" si="2"/>
        <x:v>1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1</x:v>
      </x:c>
      <x:c r="J102" s="16">
        <x:v>2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1</x:v>
      </x:c>
      <x:c r="J103" s="16">
        <x:v>1</x:v>
      </x:c>
      <x:c r="K103" s="6" t="str">
        <x:f t="shared" ref="K103:K110" si="3">IF(OR(I103="",J103=""),"",IF(I103&gt;J103,"1",IF(I103=J103,"X","2")))</x:f>
        <x:v>X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0</x:v>
      </x:c>
      <x:c r="J104" s="16">
        <x:v>2</x:v>
      </x:c>
      <x:c r="K104" s="6" t="str">
        <x:f t="shared" si="3"/>
        <x:v>2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1</x:v>
      </x:c>
      <x:c r="J105" s="16">
        <x:v>2</x:v>
      </x:c>
      <x:c r="K105" s="6" t="str">
        <x:f t="shared" si="3"/>
        <x:v>2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2</x:v>
      </x:c>
      <x:c r="J106" s="16">
        <x:v>2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1</x:v>
      </x:c>
      <x:c r="J107" s="16">
        <x:v>2</x:v>
      </x:c>
      <x:c r="K107" s="6" t="str">
        <x:f t="shared" si="3"/>
        <x:v>2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2</x:v>
      </x:c>
      <x:c r="J108" s="16">
        <x:v>1</x:v>
      </x:c>
      <x:c r="K108" s="6" t="str">
        <x:f t="shared" si="3"/>
        <x:v>1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0</x:v>
      </x:c>
      <x:c r="J109" s="16">
        <x:v>0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1</x:v>
      </x:c>
      <x:c r="J110" s="16">
        <x:v>1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7" priority="1">
      <x:formula>AND(I7&lt;&gt;"",J7&lt;&gt;"")</x:formula>
    </x:cfRule>
  </x:conditionalFormatting>
  <x:conditionalFormatting sqref="J7:J110">
    <x:cfRule type="expression" dxfId="6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f291a03e52c4386"/>
  </x:tableParts>
</x:worksheet>
</file>

<file path=xl/worksheets/sheet24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295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16">
        <x:v>2</x:v>
      </x:c>
      <x:c r="J7" s="16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16">
        <x:v>0</x:v>
      </x:c>
      <x:c r="J8" s="16">
        <x:v>1</x:v>
      </x:c>
      <x:c r="K8" s="6" t="str">
        <x:f t="shared" si="0"/>
        <x:v>2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16">
        <x:v>2</x:v>
      </x:c>
      <x:c r="J9" s="16">
        <x:v>2</x:v>
      </x:c>
      <x:c r="K9" s="6" t="str">
        <x:f t="shared" si="0"/>
        <x:v>X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16">
        <x:v>2</x:v>
      </x:c>
      <x:c r="J10" s="16">
        <x:v>1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16">
        <x:v>0</x:v>
      </x:c>
      <x:c r="J11" s="16">
        <x:v>2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16">
        <x:v>3</x:v>
      </x:c>
      <x:c r="J12" s="16">
        <x:v>1</x:v>
      </x:c>
      <x:c r="K12" s="6" t="str">
        <x:f t="shared" si="0"/>
        <x:v>1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16">
        <x:v>0</x:v>
      </x:c>
      <x:c r="J13" s="16">
        <x:v>3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16">
        <x:v>1</x:v>
      </x:c>
      <x:c r="J14" s="16">
        <x:v>1</x:v>
      </x:c>
      <x:c r="K14" s="6" t="str">
        <x:f t="shared" si="0"/>
        <x:v>X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16">
        <x:v>3</x:v>
      </x:c>
      <x:c r="J15" s="16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16">
        <x:v>3</x:v>
      </x:c>
      <x:c r="J16" s="16">
        <x:v>1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16">
        <x:v>1</x:v>
      </x:c>
      <x:c r="J17" s="16">
        <x:v>1</x:v>
      </x:c>
      <x:c r="K17" s="6" t="str">
        <x:f t="shared" si="0"/>
        <x:v>X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16">
        <x:v>2</x:v>
      </x:c>
      <x:c r="J18" s="16">
        <x:v>0</x:v>
      </x:c>
      <x:c r="K18" s="6" t="str">
        <x:f t="shared" si="0"/>
        <x:v>1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16">
        <x:v>4</x:v>
      </x:c>
      <x:c r="J19" s="16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16">
        <x:v>2</x:v>
      </x:c>
      <x:c r="J20" s="16">
        <x:v>0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16">
        <x:v>1</x:v>
      </x:c>
      <x:c r="J21" s="16">
        <x:v>3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16">
        <x:v>0</x:v>
      </x:c>
      <x:c r="J22" s="16">
        <x:v>1</x:v>
      </x:c>
      <x:c r="K22" s="6" t="str">
        <x:f t="shared" si="0"/>
        <x:v>2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16">
        <x:v>2</x:v>
      </x:c>
      <x:c r="J23" s="16">
        <x:v>0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16">
        <x:v>0</x:v>
      </x:c>
      <x:c r="J24" s="16">
        <x:v>2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16">
        <x:v>2</x:v>
      </x:c>
      <x:c r="J25" s="16">
        <x:v>0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16">
        <x:v>1</x:v>
      </x:c>
      <x:c r="J26" s="16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16">
        <x:v>3</x:v>
      </x:c>
      <x:c r="J27" s="16">
        <x:v>1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16">
        <x:v>1</x:v>
      </x:c>
      <x:c r="J28" s="16">
        <x:v>2</x:v>
      </x:c>
      <x:c r="K28" s="6" t="str">
        <x:f t="shared" si="0"/>
        <x:v>2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16">
        <x:v>0</x:v>
      </x:c>
      <x:c r="J29" s="16">
        <x:v>0</x:v>
      </x:c>
      <x:c r="K29" s="6" t="str">
        <x:f t="shared" si="0"/>
        <x:v>X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16">
        <x:v>0</x:v>
      </x:c>
      <x:c r="J30" s="16">
        <x:v>1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16">
        <x:v>2</x:v>
      </x:c>
      <x:c r="J31" s="16">
        <x:v>1</x:v>
      </x:c>
      <x:c r="K31" s="6" t="str">
        <x:f t="shared" si="0"/>
        <x:v>1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16">
        <x:v>2</x:v>
      </x:c>
      <x:c r="J32" s="16">
        <x:v>0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16">
        <x:v>1</x:v>
      </x:c>
      <x:c r="J33" s="16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16">
        <x:v>2</x:v>
      </x:c>
      <x:c r="J34" s="16">
        <x:v>0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16">
        <x:v>0</x:v>
      </x:c>
      <x:c r="J35" s="16">
        <x:v>1</x:v>
      </x:c>
      <x:c r="K35" s="6" t="str">
        <x:f t="shared" si="0"/>
        <x:v>2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16">
        <x:v>2</x:v>
      </x:c>
      <x:c r="J36" s="16">
        <x:v>0</x:v>
      </x:c>
      <x:c r="K36" s="6" t="str">
        <x:f t="shared" si="0"/>
        <x:v>1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16">
        <x:v>3</x:v>
      </x:c>
      <x:c r="J37" s="16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16">
        <x:v>1</x:v>
      </x:c>
      <x:c r="J38" s="16">
        <x:v>2</x:v>
      </x:c>
      <x:c r="K38" s="6" t="str">
        <x:f t="shared" si="0"/>
        <x:v>2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16">
        <x:v>2</x:v>
      </x:c>
      <x:c r="J39" s="16">
        <x:v>2</x:v>
      </x:c>
      <x:c r="K39" s="6" t="str">
        <x:f t="shared" ref="K39:K70" si="1">IF(OR(I39="",J39=""),"",IF(I39&gt;J39,"1",IF(I39=J39,"X","2")))</x:f>
        <x:v>X</x:v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16">
        <x:v>3</x:v>
      </x:c>
      <x:c r="J40" s="16">
        <x:v>1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16">
        <x:v>1</x:v>
      </x:c>
      <x:c r="J41" s="16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16">
        <x:v>0</x:v>
      </x:c>
      <x:c r="J42" s="16">
        <x:v>1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16">
        <x:v>3</x:v>
      </x:c>
      <x:c r="J43" s="16">
        <x:v>1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16">
        <x:v>2</x:v>
      </x:c>
      <x:c r="J44" s="16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16">
        <x:v>1</x:v>
      </x:c>
      <x:c r="J45" s="16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16">
        <x:v>2</x:v>
      </x:c>
      <x:c r="J46" s="16">
        <x:v>1</x:v>
      </x:c>
      <x:c r="K46" s="6" t="str">
        <x:f t="shared" si="1"/>
        <x:v>1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16">
        <x:v>2</x:v>
      </x:c>
      <x:c r="J47" s="16">
        <x:v>2</x:v>
      </x:c>
      <x:c r="K47" s="6" t="str">
        <x:f t="shared" si="1"/>
        <x:v>X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16">
        <x:v>2</x:v>
      </x:c>
      <x:c r="J48" s="16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16">
        <x:v>2</x:v>
      </x:c>
      <x:c r="J49" s="16">
        <x:v>0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16">
        <x:v>1</x:v>
      </x:c>
      <x:c r="J50" s="16">
        <x:v>1</x:v>
      </x:c>
      <x:c r="K50" s="6" t="str">
        <x:f t="shared" si="1"/>
        <x:v>X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16">
        <x:v>2</x:v>
      </x:c>
      <x:c r="J51" s="16">
        <x:v>1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16">
        <x:v>3</x:v>
      </x:c>
      <x:c r="J52" s="16">
        <x:v>0</x:v>
      </x:c>
      <x:c r="K52" s="6" t="str">
        <x:f t="shared" si="1"/>
        <x:v>1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16">
        <x:v>0</x:v>
      </x:c>
      <x:c r="J53" s="16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16">
        <x:v>1</x:v>
      </x:c>
      <x:c r="J54" s="16">
        <x:v>0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16">
        <x:v>2</x:v>
      </x:c>
      <x:c r="J55" s="16">
        <x:v>1</x:v>
      </x:c>
      <x:c r="K55" s="6" t="str">
        <x:f t="shared" si="1"/>
        <x:v>1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16">
        <x:v>1</x:v>
      </x:c>
      <x:c r="J56" s="16">
        <x:v>1</x:v>
      </x:c>
      <x:c r="K56" s="6" t="str">
        <x:f t="shared" si="1"/>
        <x:v>X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16" t="n">
        <x:v>1</x:v>
      </x:c>
      <x:c r="J57" s="16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16" t="n">
        <x:v>1</x:v>
      </x:c>
      <x:c r="J58" s="16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16">
        <x:v>1</x:v>
      </x:c>
      <x:c r="J59" s="16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16">
        <x:v>2</x:v>
      </x:c>
      <x:c r="J60" s="16">
        <x:v>1</x:v>
      </x:c>
      <x:c r="K60" s="6" t="str">
        <x:f t="shared" si="1"/>
        <x:v>1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16">
        <x:v>1</x:v>
      </x:c>
      <x:c r="J61" s="16">
        <x:v>1</x:v>
      </x:c>
      <x:c r="K61" s="6" t="str">
        <x:f t="shared" si="1"/>
        <x:v>X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16">
        <x:v>1</x:v>
      </x:c>
      <x:c r="J62" s="16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16">
        <x:v>1</x:v>
      </x:c>
      <x:c r="J63" s="16">
        <x:v>2</x:v>
      </x:c>
      <x:c r="K63" s="6" t="str">
        <x:f t="shared" si="1"/>
        <x:v>2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16">
        <x:v>0</x:v>
      </x:c>
      <x:c r="J64" s="16">
        <x:v>2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16">
        <x:v>1</x:v>
      </x:c>
      <x:c r="J65" s="16">
        <x:v>2</x:v>
      </x:c>
      <x:c r="K65" s="6" t="str">
        <x:f t="shared" si="1"/>
        <x:v>2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16">
        <x:v>1</x:v>
      </x:c>
      <x:c r="J66" s="16">
        <x:v>1</x:v>
      </x:c>
      <x:c r="K66" s="6" t="str">
        <x:f t="shared" si="1"/>
        <x:v>X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16">
        <x:v>2</x:v>
      </x:c>
      <x:c r="J67" s="16">
        <x:v>1</x:v>
      </x:c>
      <x:c r="K67" s="6" t="str">
        <x:f t="shared" si="1"/>
        <x:v>1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16">
        <x:v>1</x:v>
      </x:c>
      <x:c r="J68" s="16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16">
        <x:v>0</x:v>
      </x:c>
      <x:c r="J69" s="16">
        <x:v>1</x:v>
      </x:c>
      <x:c r="K69" s="6" t="str">
        <x:f t="shared" si="1"/>
        <x:v>2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16">
        <x:v>1</x:v>
      </x:c>
      <x:c r="J70" s="16">
        <x:v>3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16">
        <x:v>1</x:v>
      </x:c>
      <x:c r="J71" s="16">
        <x:v>0</x:v>
      </x:c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16">
        <x:v>1</x:v>
      </x:c>
      <x:c r="J72" s="16">
        <x:v>2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16">
        <x:v>1</x:v>
      </x:c>
      <x:c r="J73" s="16">
        <x:v>3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16">
        <x:v>2</x:v>
      </x:c>
      <x:c r="J74" s="16">
        <x:v>0</x:v>
      </x:c>
      <x:c r="K74" s="6" t="str">
        <x:f t="shared" si="2"/>
        <x:v>1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16">
        <x:v>1</x:v>
      </x:c>
      <x:c r="J75" s="16">
        <x:v>3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16">
        <x:v>1</x:v>
      </x:c>
      <x:c r="J76" s="16">
        <x:v>1</x:v>
      </x:c>
      <x:c r="K76" s="6" t="str">
        <x:f t="shared" si="2"/>
        <x:v>X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16">
        <x:v>0</x:v>
      </x:c>
      <x:c r="J77" s="16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16">
        <x:v>0</x:v>
      </x:c>
      <x:c r="J78" s="16">
        <x:v>3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16">
        <x:v>1</x:v>
      </x:c>
      <x:c r="J79" s="16">
        <x:v>1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16">
        <x:v>2</x:v>
      </x:c>
      <x:c r="J80" s="16">
        <x:v>2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16">
        <x:v>1</x:v>
      </x:c>
      <x:c r="J81" s="16">
        <x:v>0</x:v>
      </x:c>
      <x:c r="K81" s="6" t="str">
        <x:f t="shared" si="2"/>
        <x:v>1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16">
        <x:v>1</x:v>
      </x:c>
      <x:c r="J82" s="16">
        <x:v>2</x:v>
      </x:c>
      <x:c r="K82" s="6" t="str">
        <x:f t="shared" si="2"/>
        <x:v>2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16">
        <x:v>2</x:v>
      </x:c>
      <x:c r="J83" s="16">
        <x:v>2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16">
        <x:v>1</x:v>
      </x:c>
      <x:c r="J84" s="16">
        <x:v>0</x:v>
      </x:c>
      <x:c r="K84" s="6" t="str">
        <x:f t="shared" si="2"/>
        <x:v>1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16">
        <x:v>0</x:v>
      </x:c>
      <x:c r="J85" s="16">
        <x:v>1</x:v>
      </x:c>
      <x:c r="K85" s="6" t="str">
        <x:f t="shared" si="2"/>
        <x:v>2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16">
        <x:v>1</x:v>
      </x:c>
      <x:c r="J86" s="16">
        <x:v>2</x:v>
      </x:c>
      <x:c r="K86" s="6" t="str">
        <x:f t="shared" si="2"/>
        <x:v>2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16">
        <x:v>1</x:v>
      </x:c>
      <x:c r="J87" s="16">
        <x:v>0</x:v>
      </x:c>
      <x:c r="K87" s="6" t="str">
        <x:f t="shared" si="2"/>
        <x:v>1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16">
        <x:v>2</x:v>
      </x:c>
      <x:c r="J88" s="16">
        <x:v>1</x:v>
      </x:c>
      <x:c r="K88" s="6" t="str">
        <x:f t="shared" si="2"/>
        <x:v>1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16">
        <x:v>2</x:v>
      </x:c>
      <x:c r="J89" s="16">
        <x:v>2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16">
        <x:v>0</x:v>
      </x:c>
      <x:c r="J90" s="16">
        <x:v>2</x:v>
      </x:c>
      <x:c r="K90" s="6" t="str">
        <x:f t="shared" si="2"/>
        <x:v>2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16">
        <x:v>1</x:v>
      </x:c>
      <x:c r="J91" s="16">
        <x:v>0</x:v>
      </x:c>
      <x:c r="K91" s="6" t="str">
        <x:f t="shared" si="2"/>
        <x:v>1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16">
        <x:v>1</x:v>
      </x:c>
      <x:c r="J92" s="16">
        <x:v>1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16">
        <x:v>2</x:v>
      </x:c>
      <x:c r="J93" s="16">
        <x:v>1</x:v>
      </x:c>
      <x:c r="K93" s="6" t="str">
        <x:f t="shared" si="2"/>
        <x:v>1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16">
        <x:v>1</x:v>
      </x:c>
      <x:c r="J94" s="16">
        <x:v>2</x:v>
      </x:c>
      <x:c r="K94" s="6" t="str">
        <x:f t="shared" si="2"/>
        <x:v>2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16">
        <x:v>0</x:v>
      </x:c>
      <x:c r="J95" s="16">
        <x:v>1</x:v>
      </x:c>
      <x:c r="K95" s="6" t="str">
        <x:f t="shared" si="2"/>
        <x:v>2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16">
        <x:v>0</x:v>
      </x:c>
      <x:c r="J96" s="16">
        <x:v>2</x:v>
      </x:c>
      <x:c r="K96" s="6" t="str">
        <x:f t="shared" si="2"/>
        <x:v>2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16">
        <x:v>2</x:v>
      </x:c>
      <x:c r="J97" s="16">
        <x:v>0</x:v>
      </x:c>
      <x:c r="K97" s="6" t="str">
        <x:f t="shared" si="2"/>
        <x:v>1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16">
        <x:v>0</x:v>
      </x:c>
      <x:c r="J98" s="16">
        <x:v>1</x:v>
      </x:c>
      <x:c r="K98" s="6" t="str">
        <x:f t="shared" si="2"/>
        <x:v>2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16">
        <x:v>2</x:v>
      </x:c>
      <x:c r="J99" s="16">
        <x:v>1</x:v>
      </x:c>
      <x:c r="K99" s="6" t="str">
        <x:f t="shared" si="2"/>
        <x:v>1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16">
        <x:v>2</x:v>
      </x:c>
      <x:c r="J100" s="16">
        <x:v>0</x:v>
      </x:c>
      <x:c r="K100" s="6" t="str">
        <x:f t="shared" si="2"/>
        <x:v>1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16">
        <x:v>1</x:v>
      </x:c>
      <x:c r="J101" s="16">
        <x:v>0</x:v>
      </x:c>
      <x:c r="K101" s="6" t="str">
        <x:f t="shared" si="2"/>
        <x:v>1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16">
        <x:v>0</x:v>
      </x:c>
      <x:c r="J102" s="16">
        <x:v>2</x:v>
      </x:c>
      <x:c r="K102" s="6" t="str">
        <x:f t="shared" si="2"/>
        <x:v>2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16">
        <x:v>1</x:v>
      </x:c>
      <x:c r="J103" s="16">
        <x:v>1</x:v>
      </x:c>
      <x:c r="K103" s="6" t="str">
        <x:f t="shared" ref="K103:K110" si="3">IF(OR(I103="",J103=""),"",IF(I103&gt;J103,"1",IF(I103=J103,"X","2")))</x:f>
        <x:v>X</x:v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16">
        <x:v>0</x:v>
      </x:c>
      <x:c r="J104" s="16">
        <x:v>1</x:v>
      </x:c>
      <x:c r="K104" s="6" t="str">
        <x:f t="shared" si="3"/>
        <x:v>2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16">
        <x:v>2</x:v>
      </x:c>
      <x:c r="J105" s="16">
        <x:v>0</x:v>
      </x:c>
      <x:c r="K105" s="6" t="str">
        <x:f t="shared" si="3"/>
        <x:v>1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16">
        <x:v>1</x:v>
      </x:c>
      <x:c r="J106" s="16">
        <x:v>3</x:v>
      </x:c>
      <x:c r="K106" s="6" t="str">
        <x:f t="shared" si="3"/>
        <x:v>2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16">
        <x:v>3</x:v>
      </x:c>
      <x:c r="J107" s="16">
        <x:v>0</x:v>
      </x:c>
      <x:c r="K107" s="6" t="str">
        <x:f t="shared" si="3"/>
        <x:v>1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16">
        <x:v>1</x:v>
      </x:c>
      <x:c r="J108" s="16">
        <x:v>2</x:v>
      </x:c>
      <x:c r="K108" s="6" t="str">
        <x:f t="shared" si="3"/>
        <x:v>2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16">
        <x:v>1</x:v>
      </x:c>
      <x:c r="J109" s="16">
        <x:v>0</x:v>
      </x:c>
      <x:c r="K109" s="6" t="str">
        <x:f t="shared" si="3"/>
        <x:v>1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16">
        <x:v>1</x:v>
      </x:c>
      <x:c r="J110" s="16">
        <x:v>3</x:v>
      </x:c>
      <x:c r="K110" s="6" t="str">
        <x:f t="shared" si="3"/>
        <x:v>2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conditionalFormatting sqref="I7:I110">
    <x:cfRule type="expression" dxfId="3" priority="1">
      <x:formula>AND(I7&lt;&gt;"",J7&lt;&gt;"")</x:formula>
    </x:cfRule>
  </x:conditionalFormatting>
  <x:conditionalFormatting sqref="J7:J110">
    <x:cfRule type="expression" dxfId="2" priority="2">
      <x:formula>AND(J7&lt;&gt;"",#REF!&lt;&gt;"")</x:formula>
    </x:cfRule>
  </x:conditionalFormatting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c663a8609e74a41"/>
  </x:tableParts>
</x:worksheet>
</file>

<file path=xl/worksheets/sheet25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296</x:v>
      </x:c>
      <x:c r="C2" s="31"/>
      <x:c r="D2" s="31"/>
      <x:c r="F2" s="2" t="s">
        <x:v>271</x:v>
      </x:c>
      <x:c r="G2" s="7" t="n">
        <x:f>SUM(L7:L110)</x:f>
        <x:v>0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23">
        <x:v>3</x:v>
      </x:c>
      <x:c r="J7" s="24">
        <x:v>1</x:v>
      </x:c>
      <x:c r="K7" s="6" t="str">
        <x:f t="shared" ref="K7:K38" si="0">IF(OR(I7="",J7=""),"",IF(I7&gt;J7,"1",IF(I7=J7,"X","2")))</x:f>
        <x:v>1</x:v>
      </x:c>
      <x:c r="L7" s="8" t="n">
        <x:f>IF(Matchschema!$K2="","",IF(AND(I7=Matchschema!$K2,J7=Matchschema!$L2),Regler!$B$4,IF(K7=Matchschema!$M2,Regler!$B$5,0)))</x:f>
        <x:v>0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23">
        <x:v>1</x:v>
      </x:c>
      <x:c r="J8" s="24">
        <x:v>1</x:v>
      </x:c>
      <x:c r="K8" s="6" t="str">
        <x:f t="shared" si="0"/>
        <x:v>X</x:v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23">
        <x:v>2</x:v>
      </x:c>
      <x:c r="J9" s="24">
        <x:v>1</x:v>
      </x:c>
      <x:c r="K9" s="6" t="str">
        <x:f t="shared" si="0"/>
        <x:v>1</x:v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23">
        <x:v>2</x:v>
      </x:c>
      <x:c r="J10" s="24">
        <x:v>0</x:v>
      </x:c>
      <x:c r="K10" s="6" t="str">
        <x:f t="shared" si="0"/>
        <x:v>1</x:v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23">
        <x:v>0</x:v>
      </x:c>
      <x:c r="J11" s="24">
        <x:v>4</x:v>
      </x:c>
      <x:c r="K11" s="6" t="str">
        <x:f t="shared" si="0"/>
        <x:v>2</x:v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23">
        <x:v>1</x:v>
      </x:c>
      <x:c r="J12" s="24">
        <x:v>2</x:v>
      </x:c>
      <x:c r="K12" s="6" t="str">
        <x:f t="shared" si="0"/>
        <x:v>2</x:v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23">
        <x:v>0</x:v>
      </x:c>
      <x:c r="J13" s="24">
        <x:v>1</x:v>
      </x:c>
      <x:c r="K13" s="6" t="str">
        <x:f t="shared" si="0"/>
        <x:v>2</x:v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23">
        <x:v>0</x:v>
      </x:c>
      <x:c r="J14" s="24">
        <x:v>2</x:v>
      </x:c>
      <x:c r="K14" s="6" t="str">
        <x:f t="shared" si="0"/>
        <x:v>2</x:v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23">
        <x:v>6</x:v>
      </x:c>
      <x:c r="J15" s="24">
        <x:v>0</x:v>
      </x:c>
      <x:c r="K15" s="6" t="str">
        <x:f t="shared" si="0"/>
        <x:v>1</x:v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23">
        <x:v>2</x:v>
      </x:c>
      <x:c r="J16" s="24">
        <x:v>0</x:v>
      </x:c>
      <x:c r="K16" s="6" t="str">
        <x:f t="shared" si="0"/>
        <x:v>1</x:v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23">
        <x:v>3</x:v>
      </x:c>
      <x:c r="J17" s="24">
        <x:v>1</x:v>
      </x:c>
      <x:c r="K17" s="6" t="str">
        <x:f t="shared" si="0"/>
        <x:v>1</x:v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23">
        <x:v>1</x:v>
      </x:c>
      <x:c r="J18" s="24">
        <x:v>1</x:v>
      </x:c>
      <x:c r="K18" s="6" t="str">
        <x:f t="shared" si="0"/>
        <x:v>X</x:v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23">
        <x:v>6</x:v>
      </x:c>
      <x:c r="J19" s="24">
        <x:v>0</x:v>
      </x:c>
      <x:c r="K19" s="6" t="str">
        <x:f t="shared" si="0"/>
        <x:v>1</x:v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23">
        <x:v>3</x:v>
      </x:c>
      <x:c r="J20" s="24">
        <x:v>1</x:v>
      </x:c>
      <x:c r="K20" s="6" t="str">
        <x:f t="shared" si="0"/>
        <x:v>1</x:v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23">
        <x:v>0</x:v>
      </x:c>
      <x:c r="J21" s="24">
        <x:v>2</x:v>
      </x:c>
      <x:c r="K21" s="6" t="str">
        <x:f t="shared" si="0"/>
        <x:v>2</x:v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23">
        <x:v>1</x:v>
      </x:c>
      <x:c r="J22" s="24">
        <x:v>0</x:v>
      </x:c>
      <x:c r="K22" s="6" t="str">
        <x:f t="shared" si="0"/>
        <x:v>1</x:v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23">
        <x:v>3</x:v>
      </x:c>
      <x:c r="J23" s="24">
        <x:v>1</x:v>
      </x:c>
      <x:c r="K23" s="6" t="str">
        <x:f t="shared" si="0"/>
        <x:v>1</x:v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23">
        <x:v>0</x:v>
      </x:c>
      <x:c r="J24" s="24">
        <x:v>3</x:v>
      </x:c>
      <x:c r="K24" s="6" t="str">
        <x:f t="shared" si="0"/>
        <x:v>2</x:v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23">
        <x:v>3</x:v>
      </x:c>
      <x:c r="J25" s="24">
        <x:v>1</x:v>
      </x:c>
      <x:c r="K25" s="6" t="str">
        <x:f t="shared" si="0"/>
        <x:v>1</x:v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23">
        <x:v>2</x:v>
      </x:c>
      <x:c r="J26" s="24">
        <x:v>0</x:v>
      </x:c>
      <x:c r="K26" s="6" t="str">
        <x:f t="shared" si="0"/>
        <x:v>1</x:v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23">
        <x:v>2</x:v>
      </x:c>
      <x:c r="J27" s="24">
        <x:v>0</x:v>
      </x:c>
      <x:c r="K27" s="6" t="str">
        <x:f t="shared" si="0"/>
        <x:v>1</x:v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23">
        <x:v>1</x:v>
      </x:c>
      <x:c r="J28" s="24">
        <x:v>1</x:v>
      </x:c>
      <x:c r="K28" s="6" t="str">
        <x:f t="shared" si="0"/>
        <x:v>X</x:v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23">
        <x:v>2</x:v>
      </x:c>
      <x:c r="J29" s="24">
        <x:v>1</x:v>
      </x:c>
      <x:c r="K29" s="6" t="str">
        <x:f t="shared" si="0"/>
        <x:v>1</x:v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23">
        <x:v>0</x:v>
      </x:c>
      <x:c r="J30" s="24">
        <x:v>2</x:v>
      </x:c>
      <x:c r="K30" s="6" t="str">
        <x:f t="shared" si="0"/>
        <x:v>2</x:v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23">
        <x:v>1</x:v>
      </x:c>
      <x:c r="J31" s="24">
        <x:v>2</x:v>
      </x:c>
      <x:c r="K31" s="6" t="str">
        <x:f t="shared" si="0"/>
        <x:v>2</x:v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23">
        <x:v>2</x:v>
      </x:c>
      <x:c r="J32" s="24">
        <x:v>1</x:v>
      </x:c>
      <x:c r="K32" s="6" t="str">
        <x:f t="shared" si="0"/>
        <x:v>1</x:v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23">
        <x:v>3</x:v>
      </x:c>
      <x:c r="J33" s="24">
        <x:v>0</x:v>
      </x:c>
      <x:c r="K33" s="6" t="str">
        <x:f t="shared" si="0"/>
        <x:v>1</x:v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23">
        <x:v>2</x:v>
      </x:c>
      <x:c r="J34" s="24">
        <x:v>1</x:v>
      </x:c>
      <x:c r="K34" s="6" t="str">
        <x:f t="shared" si="0"/>
        <x:v>1</x:v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23">
        <x:v>2</x:v>
      </x:c>
      <x:c r="J35" s="24">
        <x:v>0</x:v>
      </x:c>
      <x:c r="K35" s="6" t="str">
        <x:f t="shared" si="0"/>
        <x:v>1</x:v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23">
        <x:v>2</x:v>
      </x:c>
      <x:c r="J36" s="24">
        <x:v>2</x:v>
      </x:c>
      <x:c r="K36" s="6" t="str">
        <x:f t="shared" si="0"/>
        <x:v>X</x:v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23">
        <x:v>5</x:v>
      </x:c>
      <x:c r="J37" s="24">
        <x:v>0</x:v>
      </x:c>
      <x:c r="K37" s="6" t="str">
        <x:f t="shared" si="0"/>
        <x:v>1</x:v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23">
        <x:v>2</x:v>
      </x:c>
      <x:c r="J38" s="24">
        <x:v>2</x:v>
      </x:c>
      <x:c r="K38" s="6" t="str">
        <x:f t="shared" si="0"/>
        <x:v>X</x:v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23">
        <x:v>3</x:v>
      </x:c>
      <x:c r="J39" s="24">
        <x:v>0</x:v>
      </x:c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23">
        <x:v>2</x:v>
      </x:c>
      <x:c r="J40" s="24">
        <x:v>0</x:v>
      </x:c>
      <x:c r="K40" s="6" t="str">
        <x:f t="shared" si="1"/>
        <x:v>1</x:v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23">
        <x:v>2</x:v>
      </x:c>
      <x:c r="J41" s="24">
        <x:v>0</x:v>
      </x:c>
      <x:c r="K41" s="6" t="str">
        <x:f t="shared" si="1"/>
        <x:v>1</x:v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23">
        <x:v>1</x:v>
      </x:c>
      <x:c r="J42" s="24">
        <x:v>2</x:v>
      </x:c>
      <x:c r="K42" s="6" t="str">
        <x:f t="shared" si="1"/>
        <x:v>2</x:v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23">
        <x:v>4</x:v>
      </x:c>
      <x:c r="J43" s="24">
        <x:v>0</x:v>
      </x:c>
      <x:c r="K43" s="6" t="str">
        <x:f t="shared" si="1"/>
        <x:v>1</x:v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23">
        <x:v>3</x:v>
      </x:c>
      <x:c r="J44" s="24">
        <x:v>0</x:v>
      </x:c>
      <x:c r="K44" s="6" t="str">
        <x:f t="shared" si="1"/>
        <x:v>1</x:v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23">
        <x:v>2</x:v>
      </x:c>
      <x:c r="J45" s="24">
        <x:v>0</x:v>
      </x:c>
      <x:c r="K45" s="6" t="str">
        <x:f t="shared" si="1"/>
        <x:v>1</x:v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23">
        <x:v>0</x:v>
      </x:c>
      <x:c r="J46" s="24">
        <x:v>2</x:v>
      </x:c>
      <x:c r="K46" s="6" t="str">
        <x:f t="shared" si="1"/>
        <x:v>2</x:v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23">
        <x:v>2</x:v>
      </x:c>
      <x:c r="J47" s="24">
        <x:v>1</x:v>
      </x:c>
      <x:c r="K47" s="6" t="str">
        <x:f t="shared" si="1"/>
        <x:v>1</x:v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23">
        <x:v>3</x:v>
      </x:c>
      <x:c r="J48" s="24">
        <x:v>0</x:v>
      </x:c>
      <x:c r="K48" s="6" t="str">
        <x:f t="shared" si="1"/>
        <x:v>1</x:v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23">
        <x:v>2</x:v>
      </x:c>
      <x:c r="J49" s="24">
        <x:v>1</x:v>
      </x:c>
      <x:c r="K49" s="6" t="str">
        <x:f t="shared" si="1"/>
        <x:v>1</x:v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23">
        <x:v>0</x:v>
      </x:c>
      <x:c r="J50" s="24">
        <x:v>2</x:v>
      </x:c>
      <x:c r="K50" s="6" t="str">
        <x:f t="shared" si="1"/>
        <x:v>2</x:v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23">
        <x:v>3</x:v>
      </x:c>
      <x:c r="J51" s="24">
        <x:v>0</x:v>
      </x:c>
      <x:c r="K51" s="6" t="str">
        <x:f t="shared" si="1"/>
        <x:v>1</x:v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23">
        <x:v>1</x:v>
      </x:c>
      <x:c r="J52" s="24">
        <x:v>2</x:v>
      </x:c>
      <x:c r="K52" s="6" t="str">
        <x:f t="shared" si="1"/>
        <x:v>2</x:v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23">
        <x:v>1</x:v>
      </x:c>
      <x:c r="J53" s="24">
        <x:v>2</x:v>
      </x:c>
      <x:c r="K53" s="6" t="str">
        <x:f t="shared" si="1"/>
        <x:v>2</x:v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23">
        <x:v>2</x:v>
      </x:c>
      <x:c r="J54" s="24">
        <x:v>1</x:v>
      </x:c>
      <x:c r="K54" s="6" t="str">
        <x:f t="shared" si="1"/>
        <x:v>1</x:v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23">
        <x:v>2</x:v>
      </x:c>
      <x:c r="J55" s="24">
        <x:v>2</x:v>
      </x:c>
      <x:c r="K55" s="6" t="str">
        <x:f t="shared" si="1"/>
        <x:v>X</x:v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23">
        <x:v>1</x:v>
      </x:c>
      <x:c r="J56" s="24">
        <x:v>1</x:v>
      </x:c>
      <x:c r="K56" s="6" t="str">
        <x:f t="shared" si="1"/>
        <x:v>X</x:v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23" t="n">
        <x:v>2</x:v>
      </x:c>
      <x:c r="J57" s="24" t="n">
        <x:v>0</x:v>
      </x:c>
      <x:c r="K57" s="6" t="str">
        <x:f t="shared" si="1"/>
        <x:v>1</x:v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23" t="n">
        <x:v>0</x:v>
      </x:c>
      <x:c r="J58" s="24" t="n">
        <x:v>2</x:v>
      </x:c>
      <x:c r="K58" s="6" t="str">
        <x:f t="shared" si="1"/>
        <x:v>2</x:v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23">
        <x:v>1</x:v>
      </x:c>
      <x:c r="J59" s="24">
        <x:v>2</x:v>
      </x:c>
      <x:c r="K59" s="6" t="str">
        <x:f t="shared" si="1"/>
        <x:v>2</x:v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23">
        <x:v>2</x:v>
      </x:c>
      <x:c r="J60" s="24">
        <x:v>2</x:v>
      </x:c>
      <x:c r="K60" s="6" t="str">
        <x:f t="shared" si="1"/>
        <x:v>X</x:v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23">
        <x:v>0</x:v>
      </x:c>
      <x:c r="J61" s="24">
        <x:v>5</x:v>
      </x:c>
      <x:c r="K61" s="6" t="str">
        <x:f t="shared" si="1"/>
        <x:v>2</x:v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23">
        <x:v>0</x:v>
      </x:c>
      <x:c r="J62" s="24">
        <x:v>2</x:v>
      </x:c>
      <x:c r="K62" s="6" t="str">
        <x:f t="shared" si="1"/>
        <x:v>2</x:v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23">
        <x:v>2</x:v>
      </x:c>
      <x:c r="J63" s="24">
        <x:v>2</x:v>
      </x:c>
      <x:c r="K63" s="6" t="str">
        <x:f t="shared" si="1"/>
        <x:v>X</x:v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23">
        <x:v>1</x:v>
      </x:c>
      <x:c r="J64" s="24">
        <x:v>3</x:v>
      </x:c>
      <x:c r="K64" s="6" t="str">
        <x:f t="shared" si="1"/>
        <x:v>2</x:v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23">
        <x:v>2</x:v>
      </x:c>
      <x:c r="J65" s="24">
        <x:v>2</x:v>
      </x:c>
      <x:c r="K65" s="6" t="str">
        <x:f t="shared" si="1"/>
        <x:v>X</x:v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23">
        <x:v>2</x:v>
      </x:c>
      <x:c r="J66" s="24">
        <x:v>1</x:v>
      </x:c>
      <x:c r="K66" s="6" t="str">
        <x:f t="shared" si="1"/>
        <x:v>1</x:v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23">
        <x:v>1</x:v>
      </x:c>
      <x:c r="J67" s="24">
        <x:v>3</x:v>
      </x:c>
      <x:c r="K67" s="6" t="str">
        <x:f t="shared" si="1"/>
        <x:v>2</x:v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23">
        <x:v>2</x:v>
      </x:c>
      <x:c r="J68" s="24">
        <x:v>0</x:v>
      </x:c>
      <x:c r="K68" s="6" t="str">
        <x:f t="shared" si="1"/>
        <x:v>1</x:v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23">
        <x:v>1</x:v>
      </x:c>
      <x:c r="J69" s="24">
        <x:v>1</x:v>
      </x:c>
      <x:c r="K69" s="6" t="str">
        <x:f t="shared" si="1"/>
        <x:v>X</x:v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23">
        <x:v>1</x:v>
      </x:c>
      <x:c r="J70" s="24">
        <x:v>3</x:v>
      </x:c>
      <x:c r="K70" s="6" t="str">
        <x:f t="shared" si="1"/>
        <x:v>2</x:v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23">
        <x:v>2</x:v>
      </x:c>
      <x:c r="J71" s="24">
        <x:v>1</x:v>
      </x:c>
      <x:c r="K71" s="6" t="str">
        <x:f t="shared" ref="K71:K102" si="2">IF(OR(I71="",J71=""),"",IF(I71&gt;J71,"1",IF(I71=J71,"X","2")))</x:f>
        <x:v>1</x:v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23">
        <x:v>0</x:v>
      </x:c>
      <x:c r="J72" s="24">
        <x:v>3</x:v>
      </x:c>
      <x:c r="K72" s="6" t="str">
        <x:f t="shared" si="2"/>
        <x:v>2</x:v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23">
        <x:v>1</x:v>
      </x:c>
      <x:c r="J73" s="24">
        <x:v>2</x:v>
      </x:c>
      <x:c r="K73" s="6" t="str">
        <x:f t="shared" si="2"/>
        <x:v>2</x:v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23">
        <x:v>2</x:v>
      </x:c>
      <x:c r="J74" s="24">
        <x:v>2</x:v>
      </x:c>
      <x:c r="K74" s="6" t="str">
        <x:f t="shared" si="2"/>
        <x:v>X</x:v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23">
        <x:v>1</x:v>
      </x:c>
      <x:c r="J75" s="24">
        <x:v>2</x:v>
      </x:c>
      <x:c r="K75" s="6" t="str">
        <x:f t="shared" si="2"/>
        <x:v>2</x:v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23">
        <x:v>2</x:v>
      </x:c>
      <x:c r="J76" s="24">
        <x:v>0</x:v>
      </x:c>
      <x:c r="K76" s="6" t="str">
        <x:f t="shared" si="2"/>
        <x:v>1</x:v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23">
        <x:v>1</x:v>
      </x:c>
      <x:c r="J77" s="24">
        <x:v>2</x:v>
      </x:c>
      <x:c r="K77" s="6" t="str">
        <x:f t="shared" si="2"/>
        <x:v>2</x:v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23">
        <x:v>0</x:v>
      </x:c>
      <x:c r="J78" s="24">
        <x:v>4</x:v>
      </x:c>
      <x:c r="K78" s="6" t="str">
        <x:f t="shared" si="2"/>
        <x:v>2</x:v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23">
        <x:v>0</x:v>
      </x:c>
      <x:c r="J79" s="24">
        <x:v>0</x:v>
      </x:c>
      <x:c r="K79" s="6" t="str">
        <x:f t="shared" si="2"/>
        <x:v>X</x:v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23">
        <x:v>0</x:v>
      </x:c>
      <x:c r="J80" s="24">
        <x:v>0</x:v>
      </x:c>
      <x:c r="K80" s="6" t="str">
        <x:f t="shared" si="2"/>
        <x:v>X</x:v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23">
        <x:v>0</x:v>
      </x:c>
      <x:c r="J81" s="24">
        <x:v>0</x:v>
      </x:c>
      <x:c r="K81" s="6" t="str">
        <x:f t="shared" si="2"/>
        <x:v>X</x:v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23">
        <x:v>0</x:v>
      </x:c>
      <x:c r="J82" s="24">
        <x:v>0</x:v>
      </x:c>
      <x:c r="K82" s="6" t="str">
        <x:f t="shared" si="2"/>
        <x:v>X</x:v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23">
        <x:v>0</x:v>
      </x:c>
      <x:c r="J83" s="24">
        <x:v>0</x:v>
      </x:c>
      <x:c r="K83" s="6" t="str">
        <x:f t="shared" si="2"/>
        <x:v>X</x:v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23">
        <x:v>0</x:v>
      </x:c>
      <x:c r="J84" s="24">
        <x:v>0</x:v>
      </x:c>
      <x:c r="K84" s="6" t="str">
        <x:f t="shared" si="2"/>
        <x:v>X</x:v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23">
        <x:v>0</x:v>
      </x:c>
      <x:c r="J85" s="24">
        <x:v>0</x:v>
      </x:c>
      <x:c r="K85" s="6" t="str">
        <x:f t="shared" si="2"/>
        <x:v>X</x:v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23">
        <x:v>0</x:v>
      </x:c>
      <x:c r="J86" s="24">
        <x:v>0</x:v>
      </x:c>
      <x:c r="K86" s="6" t="str">
        <x:f t="shared" si="2"/>
        <x:v>X</x:v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23">
        <x:v>0</x:v>
      </x:c>
      <x:c r="J87" s="24">
        <x:v>0</x:v>
      </x:c>
      <x:c r="K87" s="6" t="str">
        <x:f t="shared" si="2"/>
        <x:v>X</x:v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23">
        <x:v>0</x:v>
      </x:c>
      <x:c r="J88" s="24">
        <x:v>0</x:v>
      </x:c>
      <x:c r="K88" s="6" t="str">
        <x:f t="shared" si="2"/>
        <x:v>X</x:v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23">
        <x:v>0</x:v>
      </x:c>
      <x:c r="J89" s="24">
        <x:v>0</x:v>
      </x:c>
      <x:c r="K89" s="6" t="str">
        <x:f t="shared" si="2"/>
        <x:v>X</x:v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23">
        <x:v>0</x:v>
      </x:c>
      <x:c r="J90" s="24">
        <x:v>0</x:v>
      </x:c>
      <x:c r="K90" s="6" t="str">
        <x:f t="shared" si="2"/>
        <x:v>X</x:v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23">
        <x:v>0</x:v>
      </x:c>
      <x:c r="J91" s="24">
        <x:v>0</x:v>
      </x:c>
      <x:c r="K91" s="6" t="str">
        <x:f t="shared" si="2"/>
        <x:v>X</x:v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23">
        <x:v>0</x:v>
      </x:c>
      <x:c r="J92" s="24">
        <x:v>0</x:v>
      </x:c>
      <x:c r="K92" s="6" t="str">
        <x:f t="shared" si="2"/>
        <x:v>X</x:v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23">
        <x:v>0</x:v>
      </x:c>
      <x:c r="J93" s="24">
        <x:v>0</x:v>
      </x:c>
      <x:c r="K93" s="6" t="str">
        <x:f t="shared" si="2"/>
        <x:v>X</x:v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23">
        <x:v>0</x:v>
      </x:c>
      <x:c r="J94" s="24">
        <x:v>0</x:v>
      </x:c>
      <x:c r="K94" s="6" t="str">
        <x:f t="shared" si="2"/>
        <x:v>X</x:v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23">
        <x:v>0</x:v>
      </x:c>
      <x:c r="J95" s="24">
        <x:v>0</x:v>
      </x:c>
      <x:c r="K95" s="6" t="str">
        <x:f t="shared" si="2"/>
        <x:v>X</x:v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23">
        <x:v>0</x:v>
      </x:c>
      <x:c r="J96" s="24">
        <x:v>0</x:v>
      </x:c>
      <x:c r="K96" s="6" t="str">
        <x:f t="shared" si="2"/>
        <x:v>X</x:v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23">
        <x:v>0</x:v>
      </x:c>
      <x:c r="J97" s="24">
        <x:v>0</x:v>
      </x:c>
      <x:c r="K97" s="6" t="str">
        <x:f t="shared" si="2"/>
        <x:v>X</x:v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23">
        <x:v>0</x:v>
      </x:c>
      <x:c r="J98" s="24">
        <x:v>0</x:v>
      </x:c>
      <x:c r="K98" s="6" t="str">
        <x:f t="shared" si="2"/>
        <x:v>X</x:v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23">
        <x:v>0</x:v>
      </x:c>
      <x:c r="J99" s="24">
        <x:v>0</x:v>
      </x:c>
      <x:c r="K99" s="6" t="str">
        <x:f t="shared" si="2"/>
        <x:v>X</x:v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23">
        <x:v>0</x:v>
      </x:c>
      <x:c r="J100" s="24">
        <x:v>0</x:v>
      </x:c>
      <x:c r="K100" s="6" t="str">
        <x:f t="shared" si="2"/>
        <x:v>X</x:v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23">
        <x:v>0</x:v>
      </x:c>
      <x:c r="J101" s="24">
        <x:v>0</x:v>
      </x:c>
      <x:c r="K101" s="6" t="str">
        <x:f t="shared" si="2"/>
        <x:v>X</x:v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23">
        <x:v>0</x:v>
      </x:c>
      <x:c r="J102" s="24">
        <x:v>0</x:v>
      </x:c>
      <x:c r="K102" s="6" t="str">
        <x:f t="shared" si="2"/>
        <x:v>X</x:v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23">
        <x:v>0</x:v>
      </x:c>
      <x:c r="J103" s="24">
        <x:v>0</x:v>
      </x:c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23">
        <x:v>0</x:v>
      </x:c>
      <x:c r="J104" s="24">
        <x:v>0</x:v>
      </x:c>
      <x:c r="K104" s="6" t="str">
        <x:f t="shared" si="3"/>
        <x:v>X</x:v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23">
        <x:v>0</x:v>
      </x:c>
      <x:c r="J105" s="24">
        <x:v>0</x:v>
      </x:c>
      <x:c r="K105" s="6" t="str">
        <x:f t="shared" si="3"/>
        <x:v>X</x:v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23">
        <x:v>0</x:v>
      </x:c>
      <x:c r="J106" s="24">
        <x:v>0</x:v>
      </x:c>
      <x:c r="K106" s="6" t="str">
        <x:f t="shared" si="3"/>
        <x:v>X</x:v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23">
        <x:v>0</x:v>
      </x:c>
      <x:c r="J107" s="24">
        <x:v>0</x:v>
      </x:c>
      <x:c r="K107" s="6" t="str">
        <x:f t="shared" si="3"/>
        <x:v>X</x:v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23">
        <x:v>0</x:v>
      </x:c>
      <x:c r="J108" s="24">
        <x:v>0</x:v>
      </x:c>
      <x:c r="K108" s="6" t="str">
        <x:f t="shared" si="3"/>
        <x:v>X</x:v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23">
        <x:v>0</x:v>
      </x:c>
      <x:c r="J109" s="24">
        <x:v>0</x:v>
      </x:c>
      <x:c r="K109" s="6" t="str">
        <x:f t="shared" si="3"/>
        <x:v>X</x:v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23">
        <x:v>0</x:v>
      </x:c>
      <x:c r="J110" s="24">
        <x:v>0</x:v>
      </x:c>
      <x:c r="K110" s="6" t="str">
        <x:f t="shared" si="3"/>
        <x:v>X</x:v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pageMargins left="0.7" right="0.7" top="0.75" bottom="0.75" header="0.3" footer="0.3"/>
  <x:tableParts count="1">
    <x:tablePart xmlns:r="http://schemas.openxmlformats.org/officeDocument/2006/relationships" r:id="Rdac5299d37ca4aaa"/>
  </x:tableParts>
</x:worksheet>
</file>

<file path=xl/worksheets/sheet26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52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50d0cc46c164d6e"/>
  </x:tableParts>
</x:worksheet>
</file>

<file path=xl/worksheets/sheet27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53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b1693145cef4648"/>
  </x:tableParts>
</x:worksheet>
</file>

<file path=xl/worksheets/sheet28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54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16ac4c0bd4141c5"/>
  </x:tableParts>
</x:worksheet>
</file>

<file path=xl/worksheets/sheet29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55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72be327d4fd4237"/>
  </x:tableParts>
</x:worksheet>
</file>

<file path=xl/worksheets/sheet30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56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916c33278b54033"/>
  </x:tableParts>
</x:worksheet>
</file>

<file path=xl/worksheets/sheet31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57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1dc549ca03458d"/>
  </x:tableParts>
</x:worksheet>
</file>

<file path=xl/worksheets/sheet32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58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e837ebf30f84765"/>
  </x:tableParts>
</x:worksheet>
</file>

<file path=xl/worksheets/sheet33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59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a2a9ca06d3840b2"/>
  </x:tableParts>
</x:worksheet>
</file>

<file path=xl/worksheets/sheet34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60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6c101fecef94ac8"/>
  </x:tableParts>
</x:worksheet>
</file>

<file path=xl/worksheets/sheet35.xml><?xml version="1.0" encoding="utf-8"?>
<x:worksheet xmlns:x="http://schemas.openxmlformats.org/spreadsheetml/2006/main">
  <x:sheetFormatPr defaultRowHeight="14.25"/>
  <x:cols>
    <x:col min="1" max="1" width="6" customWidth="1"/>
    <x:col min="2" max="2" width="14" customWidth="1"/>
    <x:col min="3" max="3" width="8" customWidth="1"/>
    <x:col min="4" max="4" width="12" customWidth="1"/>
    <x:col min="5" max="5" width="10" customWidth="1"/>
    <x:col min="6" max="7" width="22" customWidth="1"/>
    <x:col min="8" max="8" width="32" customWidth="1"/>
    <x:col min="9" max="10" width="9" customWidth="1"/>
    <x:col min="11" max="12" width="10" customWidth="1"/>
    <x:col min="13" max="13" width="28" customWidth="1"/>
  </x:cols>
  <x:sheetData>
    <x:row r="1" ht="19.5">
      <x:c r="A1" s="29" t="s">
        <x:v>268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0">
      <x:c r="A2" t="s">
        <x:v>269</x:v>
      </x:c>
      <x:c r="B2" s="30" t="s">
        <x:v>61</x:v>
      </x:c>
      <x:c r="C2" s="31"/>
      <x:c r="D2" s="31"/>
      <x:c r="F2" s="2" t="s">
        <x:v>271</x:v>
      </x:c>
      <x:c r="G2" s="7" t="n">
        <x:f>SUM(L7:L110)</x:f>
        <x:v>1</x:v>
      </x:c>
      <x:c r="H2" s="7"/>
      <x:c r="I2" s="7" t="s">
        <x:v>7</x:v>
      </x:c>
      <x:c r="J2" s="7" t="n">
        <x:f>SUMPRODUCT(--(I7:I110=Matchschema!$K$2:$K$105),--(J7:J110=Matchschema!$L$2:$L$105),--(Matchschema!$K$2:$K$105&lt;&gt;""))</x:f>
        <x:v>0</x:v>
      </x:c>
      <x:c r="K2" s="2" t="s">
        <x:v>8</x:v>
      </x:c>
      <x:c r="L2" s="2" t="n">
        <x:f>SUMPRODUCT(--(K7:K110=Matchschema!$M$2:$M$105),--(Matchschema!$M$2:$M$105&lt;&gt;""))</x:f>
        <x:v>0</x:v>
      </x:c>
    </x:row>
    <x:row r="6" ht="15">
      <x:c r="A6" s="1" t="s">
        <x:v>62</x:v>
      </x:c>
      <x:c r="B6" s="1" t="s">
        <x:v>63</x:v>
      </x:c>
      <x:c r="C6" s="1" t="s">
        <x:v>64</x:v>
      </x:c>
      <x:c r="D6" s="1" t="s">
        <x:v>272</x:v>
      </x:c>
      <x:c r="E6" s="1" t="s">
        <x:v>273</x:v>
      </x:c>
      <x:c r="F6" s="1" t="s">
        <x:v>69</x:v>
      </x:c>
      <x:c r="G6" s="1" t="s">
        <x:v>70</x:v>
      </x:c>
      <x:c r="H6" s="1" t="s">
        <x:v>71</x:v>
      </x:c>
      <x:c r="I6" s="1" t="s">
        <x:v>274</x:v>
      </x:c>
      <x:c r="J6" s="1" t="s">
        <x:v>275</x:v>
      </x:c>
      <x:c r="K6" s="1" t="s">
        <x:v>276</x:v>
      </x:c>
      <x:c r="L6" s="1" t="s">
        <x:v>6</x:v>
      </x:c>
      <x:c r="M6" s="1" t="s">
        <x:v>277</x:v>
      </x:c>
    </x:row>
    <x:row r="7" ht="15">
      <x:c r="A7" s="3" t="n">
        <x:f>Matchschema!A2</x:f>
        <x:v>1</x:v>
      </x:c>
      <x:c r="B7" s="3" t="str">
        <x:f>Matchschema!B2</x:f>
        <x:v>Gruppspel</x:v>
      </x:c>
      <x:c r="C7" s="3" t="str">
        <x:f>Matchschema!C2</x:f>
        <x:v>A</x:v>
      </x:c>
      <x:c r="D7" s="4" t="n">
        <x:f>Matchschema!D2</x:f>
        <x:v>46184.875</x:v>
      </x:c>
      <x:c r="E7" s="3" t="str">
        <x:f>Matchschema!E2</x:f>
        <x:v>21:00</x:v>
      </x:c>
      <x:c r="F7" s="3" t="str">
        <x:f>Matchschema!H2</x:f>
        <x:v>Mexico</x:v>
      </x:c>
      <x:c r="G7" s="3" t="str">
        <x:f>Matchschema!I2</x:f>
        <x:v>South Africa</x:v>
      </x:c>
      <x:c r="H7" s="3" t="str">
        <x:f>Matchschema!J2</x:f>
        <x:v>Estadio Azteca, Mexico City</x:v>
      </x:c>
      <x:c r="I7" s="5"/>
      <x:c r="J7" s="5"/>
      <x:c r="K7" s="6" t="str">
        <x:f t="shared" ref="K7:K38" si="0">IF(OR(I7="",J7=""),"",IF(I7&gt;J7,"1",IF(I7=J7,"X","2")))</x:f>
      </x:c>
      <x:c r="L7" s="8" t="n">
        <x:f>IF(Matchschema!$K2="","",IF(AND(I7=Matchschema!$K2,J7=Matchschema!$L2),Regler!$B$4,IF(K7=Matchschema!$M2,Regler!$B$5,0)))</x:f>
        <x:v>1</x:v>
      </x:c>
      <x:c r="M7" s="3"/>
    </x:row>
    <x:row r="8" ht="15">
      <x:c r="A8" s="3" t="n">
        <x:f>Matchschema!A3</x:f>
        <x:v>2</x:v>
      </x:c>
      <x:c r="B8" s="3" t="str">
        <x:f>Matchschema!B3</x:f>
        <x:v>Gruppspel</x:v>
      </x:c>
      <x:c r="C8" s="3" t="str">
        <x:f>Matchschema!C3</x:f>
        <x:v>A</x:v>
      </x:c>
      <x:c r="D8" s="4" t="n">
        <x:f>Matchschema!D3</x:f>
        <x:v>46185.166666666664</x:v>
      </x:c>
      <x:c r="E8" s="3" t="str">
        <x:f>Matchschema!E3</x:f>
        <x:v>04:00</x:v>
      </x:c>
      <x:c r="F8" s="3" t="str">
        <x:f>Matchschema!H3</x:f>
        <x:v>South Korea</x:v>
      </x:c>
      <x:c r="G8" s="3" t="str">
        <x:f>Matchschema!I3</x:f>
        <x:v>Czechia</x:v>
      </x:c>
      <x:c r="H8" s="3" t="str">
        <x:f>Matchschema!J3</x:f>
        <x:v>Estadio Akron, Zapopan</x:v>
      </x:c>
      <x:c r="I8" s="5"/>
      <x:c r="J8" s="5"/>
      <x:c r="K8" s="6" t="str">
        <x:f t="shared" si="0"/>
      </x:c>
      <x:c r="L8" s="8" t="str">
        <x:f>IF(Matchschema!$K3="","",IF(AND(I8=Matchschema!$K3,J8=Matchschema!$L3),Regler!$B$4,IF(K8=Matchschema!$M3,Regler!$B$5,0)))</x:f>
      </x:c>
      <x:c r="M8" s="3"/>
    </x:row>
    <x:row r="9" ht="15">
      <x:c r="A9" s="3" t="n">
        <x:f>Matchschema!A4</x:f>
        <x:v>3</x:v>
      </x:c>
      <x:c r="B9" s="3" t="str">
        <x:f>Matchschema!B4</x:f>
        <x:v>Gruppspel</x:v>
      </x:c>
      <x:c r="C9" s="3" t="str">
        <x:f>Matchschema!C4</x:f>
        <x:v>B</x:v>
      </x:c>
      <x:c r="D9" s="4" t="n">
        <x:f>Matchschema!D4</x:f>
        <x:v>46185.875</x:v>
      </x:c>
      <x:c r="E9" s="3" t="str">
        <x:f>Matchschema!E4</x:f>
        <x:v>21:00</x:v>
      </x:c>
      <x:c r="F9" s="3" t="str">
        <x:f>Matchschema!H4</x:f>
        <x:v>Canada</x:v>
      </x:c>
      <x:c r="G9" s="3" t="str">
        <x:f>Matchschema!I4</x:f>
        <x:v>Bosnia &amp; Herzegovina</x:v>
      </x:c>
      <x:c r="H9" s="3" t="str">
        <x:f>Matchschema!J4</x:f>
        <x:v>BMO Field, Toronto</x:v>
      </x:c>
      <x:c r="I9" s="5"/>
      <x:c r="J9" s="5"/>
      <x:c r="K9" s="6" t="str">
        <x:f t="shared" si="0"/>
      </x:c>
      <x:c r="L9" s="8" t="str">
        <x:f>IF(Matchschema!$K4="","",IF(AND(I9=Matchschema!$K4,J9=Matchschema!$L4),Regler!$B$4,IF(K9=Matchschema!$M4,Regler!$B$5,0)))</x:f>
      </x:c>
      <x:c r="M9" s="3"/>
    </x:row>
    <x:row r="10" ht="15">
      <x:c r="A10" s="3" t="n">
        <x:f>Matchschema!A5</x:f>
        <x:v>4</x:v>
      </x:c>
      <x:c r="B10" s="3" t="str">
        <x:f>Matchschema!B5</x:f>
        <x:v>Gruppspel</x:v>
      </x:c>
      <x:c r="C10" s="3" t="str">
        <x:f>Matchschema!C5</x:f>
        <x:v>D</x:v>
      </x:c>
      <x:c r="D10" s="4" t="n">
        <x:f>Matchschema!D5</x:f>
        <x:v>46186.125</x:v>
      </x:c>
      <x:c r="E10" s="3" t="str">
        <x:f>Matchschema!E5</x:f>
        <x:v>03:00</x:v>
      </x:c>
      <x:c r="F10" s="3" t="str">
        <x:f>Matchschema!H5</x:f>
        <x:v>USA</x:v>
      </x:c>
      <x:c r="G10" s="3" t="str">
        <x:f>Matchschema!I5</x:f>
        <x:v>Paraguay</x:v>
      </x:c>
      <x:c r="H10" s="3" t="str">
        <x:f>Matchschema!J5</x:f>
        <x:v>SoFi Stadium, Inglewood</x:v>
      </x:c>
      <x:c r="I10" s="5"/>
      <x:c r="J10" s="5"/>
      <x:c r="K10" s="6" t="str">
        <x:f t="shared" si="0"/>
      </x:c>
      <x:c r="L10" s="8" t="str">
        <x:f>IF(Matchschema!$K5="","",IF(AND(I10=Matchschema!$K5,J10=Matchschema!$L5),Regler!$B$4,IF(K10=Matchschema!$M5,Regler!$B$5,0)))</x:f>
      </x:c>
      <x:c r="M10" s="3"/>
    </x:row>
    <x:row r="11" ht="15">
      <x:c r="A11" s="3" t="n">
        <x:f>Matchschema!A6</x:f>
        <x:v>5</x:v>
      </x:c>
      <x:c r="B11" s="3" t="str">
        <x:f>Matchschema!B6</x:f>
        <x:v>Gruppspel</x:v>
      </x:c>
      <x:c r="C11" s="3" t="str">
        <x:f>Matchschema!C6</x:f>
        <x:v>B</x:v>
      </x:c>
      <x:c r="D11" s="4" t="n">
        <x:f>Matchschema!D6</x:f>
        <x:v>46186.875</x:v>
      </x:c>
      <x:c r="E11" s="3" t="str">
        <x:f>Matchschema!E6</x:f>
        <x:v>21:00</x:v>
      </x:c>
      <x:c r="F11" s="3" t="str">
        <x:f>Matchschema!H6</x:f>
        <x:v>Qatar</x:v>
      </x:c>
      <x:c r="G11" s="3" t="str">
        <x:f>Matchschema!I6</x:f>
        <x:v>Switzerland</x:v>
      </x:c>
      <x:c r="H11" s="3" t="str">
        <x:f>Matchschema!J6</x:f>
        <x:v>Levi’s Stadium, Santa Clara</x:v>
      </x:c>
      <x:c r="I11" s="5"/>
      <x:c r="J11" s="5"/>
      <x:c r="K11" s="6" t="str">
        <x:f t="shared" si="0"/>
      </x:c>
      <x:c r="L11" s="8" t="str">
        <x:f>IF(Matchschema!$K6="","",IF(AND(I11=Matchschema!$K6,J11=Matchschema!$L6),Regler!$B$4,IF(K11=Matchschema!$M6,Regler!$B$5,0)))</x:f>
      </x:c>
      <x:c r="M11" s="3"/>
    </x:row>
    <x:row r="12" ht="15">
      <x:c r="A12" s="3" t="n">
        <x:f>Matchschema!A7</x:f>
        <x:v>6</x:v>
      </x:c>
      <x:c r="B12" s="3" t="str">
        <x:f>Matchschema!B7</x:f>
        <x:v>Gruppspel</x:v>
      </x:c>
      <x:c r="C12" s="3" t="str">
        <x:f>Matchschema!C7</x:f>
        <x:v>C</x:v>
      </x:c>
      <x:c r="D12" s="4" t="n">
        <x:f>Matchschema!D7</x:f>
        <x:v>46187</x:v>
      </x:c>
      <x:c r="E12" s="3" t="str">
        <x:f>Matchschema!E7</x:f>
        <x:v>00:00</x:v>
      </x:c>
      <x:c r="F12" s="3" t="str">
        <x:f>Matchschema!H7</x:f>
        <x:v>Brazil</x:v>
      </x:c>
      <x:c r="G12" s="3" t="str">
        <x:f>Matchschema!I7</x:f>
        <x:v>Morocco</x:v>
      </x:c>
      <x:c r="H12" s="3" t="str">
        <x:f>Matchschema!J7</x:f>
        <x:v>MetLife Stadium, East Rutherford</x:v>
      </x:c>
      <x:c r="I12" s="5"/>
      <x:c r="J12" s="5"/>
      <x:c r="K12" s="6" t="str">
        <x:f t="shared" si="0"/>
      </x:c>
      <x:c r="L12" s="8" t="str">
        <x:f>IF(Matchschema!$K7="","",IF(AND(I12=Matchschema!$K7,J12=Matchschema!$L7),Regler!$B$4,IF(K12=Matchschema!$M7,Regler!$B$5,0)))</x:f>
      </x:c>
      <x:c r="M12" s="3"/>
    </x:row>
    <x:row r="13" ht="15">
      <x:c r="A13" s="3" t="n">
        <x:f>Matchschema!A8</x:f>
        <x:v>7</x:v>
      </x:c>
      <x:c r="B13" s="3" t="str">
        <x:f>Matchschema!B8</x:f>
        <x:v>Gruppspel</x:v>
      </x:c>
      <x:c r="C13" s="3" t="str">
        <x:f>Matchschema!C8</x:f>
        <x:v>C</x:v>
      </x:c>
      <x:c r="D13" s="4" t="n">
        <x:f>Matchschema!D8</x:f>
        <x:v>46187.125</x:v>
      </x:c>
      <x:c r="E13" s="3" t="str">
        <x:f>Matchschema!E8</x:f>
        <x:v>03:00</x:v>
      </x:c>
      <x:c r="F13" s="3" t="str">
        <x:f>Matchschema!H8</x:f>
        <x:v>Haiti</x:v>
      </x:c>
      <x:c r="G13" s="3" t="str">
        <x:f>Matchschema!I8</x:f>
        <x:v>Scotland</x:v>
      </x:c>
      <x:c r="H13" s="3" t="str">
        <x:f>Matchschema!J8</x:f>
        <x:v>Gillette Stadium, Foxborough</x:v>
      </x:c>
      <x:c r="I13" s="5"/>
      <x:c r="J13" s="5"/>
      <x:c r="K13" s="6" t="str">
        <x:f t="shared" si="0"/>
      </x:c>
      <x:c r="L13" s="8" t="str">
        <x:f>IF(Matchschema!$K8="","",IF(AND(I13=Matchschema!$K8,J13=Matchschema!$L8),Regler!$B$4,IF(K13=Matchschema!$M8,Regler!$B$5,0)))</x:f>
      </x:c>
      <x:c r="M13" s="3"/>
    </x:row>
    <x:row r="14" ht="15">
      <x:c r="A14" s="3" t="n">
        <x:f>Matchschema!A9</x:f>
        <x:v>8</x:v>
      </x:c>
      <x:c r="B14" s="3" t="str">
        <x:f>Matchschema!B9</x:f>
        <x:v>Gruppspel</x:v>
      </x:c>
      <x:c r="C14" s="3" t="str">
        <x:f>Matchschema!C9</x:f>
        <x:v>D</x:v>
      </x:c>
      <x:c r="D14" s="4" t="n">
        <x:f>Matchschema!D9</x:f>
        <x:v>46187.25</x:v>
      </x:c>
      <x:c r="E14" s="3" t="str">
        <x:f>Matchschema!E9</x:f>
        <x:v>06:00</x:v>
      </x:c>
      <x:c r="F14" s="3" t="str">
        <x:f>Matchschema!H9</x:f>
        <x:v>Australia</x:v>
      </x:c>
      <x:c r="G14" s="3" t="str">
        <x:f>Matchschema!I9</x:f>
        <x:v>Türkiye</x:v>
      </x:c>
      <x:c r="H14" s="3" t="str">
        <x:f>Matchschema!J9</x:f>
        <x:v>BC Place, Vancouver</x:v>
      </x:c>
      <x:c r="I14" s="5"/>
      <x:c r="J14" s="5"/>
      <x:c r="K14" s="6" t="str">
        <x:f t="shared" si="0"/>
      </x:c>
      <x:c r="L14" s="8" t="str">
        <x:f>IF(Matchschema!$K9="","",IF(AND(I14=Matchschema!$K9,J14=Matchschema!$L9),Regler!$B$4,IF(K14=Matchschema!$M9,Regler!$B$5,0)))</x:f>
      </x:c>
      <x:c r="M14" s="3"/>
    </x:row>
    <x:row r="15" ht="15">
      <x:c r="A15" s="3" t="n">
        <x:f>Matchschema!A10</x:f>
        <x:v>9</x:v>
      </x:c>
      <x:c r="B15" s="3" t="str">
        <x:f>Matchschema!B10</x:f>
        <x:v>Gruppspel</x:v>
      </x:c>
      <x:c r="C15" s="3" t="str">
        <x:f>Matchschema!C10</x:f>
        <x:v>E</x:v>
      </x:c>
      <x:c r="D15" s="4" t="n">
        <x:f>Matchschema!D10</x:f>
        <x:v>46187.791666666664</x:v>
      </x:c>
      <x:c r="E15" s="3" t="str">
        <x:f>Matchschema!E10</x:f>
        <x:v>19:00</x:v>
      </x:c>
      <x:c r="F15" s="3" t="str">
        <x:f>Matchschema!H10</x:f>
        <x:v>Germany</x:v>
      </x:c>
      <x:c r="G15" s="3" t="str">
        <x:f>Matchschema!I10</x:f>
        <x:v>Curaçao</x:v>
      </x:c>
      <x:c r="H15" s="3" t="str">
        <x:f>Matchschema!J10</x:f>
        <x:v>NRG Stadium, Houston</x:v>
      </x:c>
      <x:c r="I15" s="5"/>
      <x:c r="J15" s="5"/>
      <x:c r="K15" s="6" t="str">
        <x:f t="shared" si="0"/>
      </x:c>
      <x:c r="L15" s="8" t="str">
        <x:f>IF(Matchschema!$K10="","",IF(AND(I15=Matchschema!$K10,J15=Matchschema!$L10),Regler!$B$4,IF(K15=Matchschema!$M10,Regler!$B$5,0)))</x:f>
      </x:c>
      <x:c r="M15" s="3"/>
    </x:row>
    <x:row r="16" ht="15">
      <x:c r="A16" s="3" t="n">
        <x:f>Matchschema!A11</x:f>
        <x:v>10</x:v>
      </x:c>
      <x:c r="B16" s="3" t="str">
        <x:f>Matchschema!B11</x:f>
        <x:v>Gruppspel</x:v>
      </x:c>
      <x:c r="C16" s="3" t="str">
        <x:f>Matchschema!C11</x:f>
        <x:v>F</x:v>
      </x:c>
      <x:c r="D16" s="4" t="n">
        <x:f>Matchschema!D11</x:f>
        <x:v>46187.916666666664</x:v>
      </x:c>
      <x:c r="E16" s="3" t="str">
        <x:f>Matchschema!E11</x:f>
        <x:v>22:00</x:v>
      </x:c>
      <x:c r="F16" s="3" t="str">
        <x:f>Matchschema!H11</x:f>
        <x:v>Netherlands</x:v>
      </x:c>
      <x:c r="G16" s="3" t="str">
        <x:f>Matchschema!I11</x:f>
        <x:v>Japan</x:v>
      </x:c>
      <x:c r="H16" s="3" t="str">
        <x:f>Matchschema!J11</x:f>
        <x:v>AT&amp;T Stadium, Arlington</x:v>
      </x:c>
      <x:c r="I16" s="5"/>
      <x:c r="J16" s="5"/>
      <x:c r="K16" s="6" t="str">
        <x:f t="shared" si="0"/>
      </x:c>
      <x:c r="L16" s="8" t="str">
        <x:f>IF(Matchschema!$K11="","",IF(AND(I16=Matchschema!$K11,J16=Matchschema!$L11),Regler!$B$4,IF(K16=Matchschema!$M11,Regler!$B$5,0)))</x:f>
      </x:c>
      <x:c r="M16" s="3"/>
    </x:row>
    <x:row r="17" ht="15">
      <x:c r="A17" s="3" t="n">
        <x:f>Matchschema!A12</x:f>
        <x:v>11</x:v>
      </x:c>
      <x:c r="B17" s="3" t="str">
        <x:f>Matchschema!B12</x:f>
        <x:v>Gruppspel</x:v>
      </x:c>
      <x:c r="C17" s="3" t="str">
        <x:f>Matchschema!C12</x:f>
        <x:v>E</x:v>
      </x:c>
      <x:c r="D17" s="4" t="n">
        <x:f>Matchschema!D12</x:f>
        <x:v>46188.041666666664</x:v>
      </x:c>
      <x:c r="E17" s="3" t="str">
        <x:f>Matchschema!E12</x:f>
        <x:v>01:00</x:v>
      </x:c>
      <x:c r="F17" s="3" t="str">
        <x:f>Matchschema!H12</x:f>
        <x:v>Ivory Coast</x:v>
      </x:c>
      <x:c r="G17" s="3" t="str">
        <x:f>Matchschema!I12</x:f>
        <x:v>Ecuador</x:v>
      </x:c>
      <x:c r="H17" s="3" t="str">
        <x:f>Matchschema!J12</x:f>
        <x:v>Lincoln Financial Field, Philadelphia</x:v>
      </x:c>
      <x:c r="I17" s="5"/>
      <x:c r="J17" s="5"/>
      <x:c r="K17" s="6" t="str">
        <x:f t="shared" si="0"/>
      </x:c>
      <x:c r="L17" s="8" t="str">
        <x:f>IF(Matchschema!$K12="","",IF(AND(I17=Matchschema!$K12,J17=Matchschema!$L12),Regler!$B$4,IF(K17=Matchschema!$M12,Regler!$B$5,0)))</x:f>
      </x:c>
      <x:c r="M17" s="3"/>
    </x:row>
    <x:row r="18" ht="15">
      <x:c r="A18" s="3" t="n">
        <x:f>Matchschema!A13</x:f>
        <x:v>12</x:v>
      </x:c>
      <x:c r="B18" s="3" t="str">
        <x:f>Matchschema!B13</x:f>
        <x:v>Gruppspel</x:v>
      </x:c>
      <x:c r="C18" s="3" t="str">
        <x:f>Matchschema!C13</x:f>
        <x:v>F</x:v>
      </x:c>
      <x:c r="D18" s="4" t="n">
        <x:f>Matchschema!D13</x:f>
        <x:v>46188.166666666664</x:v>
      </x:c>
      <x:c r="E18" s="3" t="str">
        <x:f>Matchschema!E13</x:f>
        <x:v>04:00</x:v>
      </x:c>
      <x:c r="F18" s="3" t="str">
        <x:f>Matchschema!H13</x:f>
        <x:v>Sweden</x:v>
      </x:c>
      <x:c r="G18" s="3" t="str">
        <x:f>Matchschema!I13</x:f>
        <x:v>Tunisia</x:v>
      </x:c>
      <x:c r="H18" s="3" t="str">
        <x:f>Matchschema!J13</x:f>
        <x:v>Estadio BBVA, Monterrey</x:v>
      </x:c>
      <x:c r="I18" s="5"/>
      <x:c r="J18" s="5"/>
      <x:c r="K18" s="6" t="str">
        <x:f t="shared" si="0"/>
      </x:c>
      <x:c r="L18" s="8" t="str">
        <x:f>IF(Matchschema!$K13="","",IF(AND(I18=Matchschema!$K13,J18=Matchschema!$L13),Regler!$B$4,IF(K18=Matchschema!$M13,Regler!$B$5,0)))</x:f>
      </x:c>
      <x:c r="M18" s="3"/>
    </x:row>
    <x:row r="19" ht="15">
      <x:c r="A19" s="3" t="n">
        <x:f>Matchschema!A14</x:f>
        <x:v>13</x:v>
      </x:c>
      <x:c r="B19" s="3" t="str">
        <x:f>Matchschema!B14</x:f>
        <x:v>Gruppspel</x:v>
      </x:c>
      <x:c r="C19" s="3" t="str">
        <x:f>Matchschema!C14</x:f>
        <x:v>H</x:v>
      </x:c>
      <x:c r="D19" s="4" t="n">
        <x:f>Matchschema!D14</x:f>
        <x:v>46188.75</x:v>
      </x:c>
      <x:c r="E19" s="3" t="str">
        <x:f>Matchschema!E14</x:f>
        <x:v>18:00</x:v>
      </x:c>
      <x:c r="F19" s="3" t="str">
        <x:f>Matchschema!H14</x:f>
        <x:v>Spain</x:v>
      </x:c>
      <x:c r="G19" s="3" t="str">
        <x:f>Matchschema!I14</x:f>
        <x:v>Cape Verde</x:v>
      </x:c>
      <x:c r="H19" s="3" t="str">
        <x:f>Matchschema!J14</x:f>
        <x:v>Mercedes-Benz Stadium, Atlanta</x:v>
      </x:c>
      <x:c r="I19" s="5"/>
      <x:c r="J19" s="5"/>
      <x:c r="K19" s="6" t="str">
        <x:f t="shared" si="0"/>
      </x:c>
      <x:c r="L19" s="8" t="str">
        <x:f>IF(Matchschema!$K14="","",IF(AND(I19=Matchschema!$K14,J19=Matchschema!$L14),Regler!$B$4,IF(K19=Matchschema!$M14,Regler!$B$5,0)))</x:f>
      </x:c>
      <x:c r="M19" s="3"/>
    </x:row>
    <x:row r="20" ht="15">
      <x:c r="A20" s="3" t="n">
        <x:f>Matchschema!A15</x:f>
        <x:v>14</x:v>
      </x:c>
      <x:c r="B20" s="3" t="str">
        <x:f>Matchschema!B15</x:f>
        <x:v>Gruppspel</x:v>
      </x:c>
      <x:c r="C20" s="3" t="str">
        <x:f>Matchschema!C15</x:f>
        <x:v>G</x:v>
      </x:c>
      <x:c r="D20" s="4" t="n">
        <x:f>Matchschema!D15</x:f>
        <x:v>46188.875</x:v>
      </x:c>
      <x:c r="E20" s="3" t="str">
        <x:f>Matchschema!E15</x:f>
        <x:v>21:00</x:v>
      </x:c>
      <x:c r="F20" s="3" t="str">
        <x:f>Matchschema!H15</x:f>
        <x:v>Belgium</x:v>
      </x:c>
      <x:c r="G20" s="3" t="str">
        <x:f>Matchschema!I15</x:f>
        <x:v>Egypt</x:v>
      </x:c>
      <x:c r="H20" s="3" t="str">
        <x:f>Matchschema!J15</x:f>
        <x:v>Lumen Field, Seattle</x:v>
      </x:c>
      <x:c r="I20" s="5"/>
      <x:c r="J20" s="5"/>
      <x:c r="K20" s="6" t="str">
        <x:f t="shared" si="0"/>
      </x:c>
      <x:c r="L20" s="8" t="str">
        <x:f>IF(Matchschema!$K15="","",IF(AND(I20=Matchschema!$K15,J20=Matchschema!$L15),Regler!$B$4,IF(K20=Matchschema!$M15,Regler!$B$5,0)))</x:f>
      </x:c>
      <x:c r="M20" s="3"/>
    </x:row>
    <x:row r="21" ht="15">
      <x:c r="A21" s="3" t="n">
        <x:f>Matchschema!A16</x:f>
        <x:v>15</x:v>
      </x:c>
      <x:c r="B21" s="3" t="str">
        <x:f>Matchschema!B16</x:f>
        <x:v>Gruppspel</x:v>
      </x:c>
      <x:c r="C21" s="3" t="str">
        <x:f>Matchschema!C16</x:f>
        <x:v>H</x:v>
      </x:c>
      <x:c r="D21" s="4" t="n">
        <x:f>Matchschema!D16</x:f>
        <x:v>46189</x:v>
      </x:c>
      <x:c r="E21" s="3" t="str">
        <x:f>Matchschema!E16</x:f>
        <x:v>00:00</x:v>
      </x:c>
      <x:c r="F21" s="3" t="str">
        <x:f>Matchschema!H16</x:f>
        <x:v>Saudi Arabia</x:v>
      </x:c>
      <x:c r="G21" s="3" t="str">
        <x:f>Matchschema!I16</x:f>
        <x:v>Uruguay</x:v>
      </x:c>
      <x:c r="H21" s="3" t="str">
        <x:f>Matchschema!J16</x:f>
        <x:v>Hard Rock Stadium, Miami Gardens</x:v>
      </x:c>
      <x:c r="I21" s="5"/>
      <x:c r="J21" s="5"/>
      <x:c r="K21" s="6" t="str">
        <x:f t="shared" si="0"/>
      </x:c>
      <x:c r="L21" s="8" t="str">
        <x:f>IF(Matchschema!$K16="","",IF(AND(I21=Matchschema!$K16,J21=Matchschema!$L16),Regler!$B$4,IF(K21=Matchschema!$M16,Regler!$B$5,0)))</x:f>
      </x:c>
      <x:c r="M21" s="3"/>
    </x:row>
    <x:row r="22" ht="15">
      <x:c r="A22" s="3" t="n">
        <x:f>Matchschema!A17</x:f>
        <x:v>16</x:v>
      </x:c>
      <x:c r="B22" s="3" t="str">
        <x:f>Matchschema!B17</x:f>
        <x:v>Gruppspel</x:v>
      </x:c>
      <x:c r="C22" s="3" t="str">
        <x:f>Matchschema!C17</x:f>
        <x:v>G</x:v>
      </x:c>
      <x:c r="D22" s="4" t="n">
        <x:f>Matchschema!D17</x:f>
        <x:v>46189.125</x:v>
      </x:c>
      <x:c r="E22" s="3" t="str">
        <x:f>Matchschema!E17</x:f>
        <x:v>03:00</x:v>
      </x:c>
      <x:c r="F22" s="3" t="str">
        <x:f>Matchschema!H17</x:f>
        <x:v>Iran</x:v>
      </x:c>
      <x:c r="G22" s="3" t="str">
        <x:f>Matchschema!I17</x:f>
        <x:v>New Zealand</x:v>
      </x:c>
      <x:c r="H22" s="3" t="str">
        <x:f>Matchschema!J17</x:f>
        <x:v>SoFi Stadium, Inglewood</x:v>
      </x:c>
      <x:c r="I22" s="5"/>
      <x:c r="J22" s="5"/>
      <x:c r="K22" s="6" t="str">
        <x:f t="shared" si="0"/>
      </x:c>
      <x:c r="L22" s="8" t="str">
        <x:f>IF(Matchschema!$K17="","",IF(AND(I22=Matchschema!$K17,J22=Matchschema!$L17),Regler!$B$4,IF(K22=Matchschema!$M17,Regler!$B$5,0)))</x:f>
      </x:c>
      <x:c r="M22" s="3"/>
    </x:row>
    <x:row r="23" ht="15">
      <x:c r="A23" s="3" t="n">
        <x:f>Matchschema!A18</x:f>
        <x:v>17</x:v>
      </x:c>
      <x:c r="B23" s="3" t="str">
        <x:f>Matchschema!B18</x:f>
        <x:v>Gruppspel</x:v>
      </x:c>
      <x:c r="C23" s="3" t="str">
        <x:f>Matchschema!C18</x:f>
        <x:v>I</x:v>
      </x:c>
      <x:c r="D23" s="4" t="n">
        <x:f>Matchschema!D18</x:f>
        <x:v>46189.875</x:v>
      </x:c>
      <x:c r="E23" s="3" t="str">
        <x:f>Matchschema!E18</x:f>
        <x:v>21:00</x:v>
      </x:c>
      <x:c r="F23" s="3" t="str">
        <x:f>Matchschema!H18</x:f>
        <x:v>France</x:v>
      </x:c>
      <x:c r="G23" s="3" t="str">
        <x:f>Matchschema!I18</x:f>
        <x:v>Senegal</x:v>
      </x:c>
      <x:c r="H23" s="3" t="str">
        <x:f>Matchschema!J18</x:f>
        <x:v>MetLife Stadium, East Rutherford</x:v>
      </x:c>
      <x:c r="I23" s="5"/>
      <x:c r="J23" s="5"/>
      <x:c r="K23" s="6" t="str">
        <x:f t="shared" si="0"/>
      </x:c>
      <x:c r="L23" s="8" t="str">
        <x:f>IF(Matchschema!$K18="","",IF(AND(I23=Matchschema!$K18,J23=Matchschema!$L18),Regler!$B$4,IF(K23=Matchschema!$M18,Regler!$B$5,0)))</x:f>
      </x:c>
      <x:c r="M23" s="3"/>
    </x:row>
    <x:row r="24" ht="15">
      <x:c r="A24" s="3" t="n">
        <x:f>Matchschema!A19</x:f>
        <x:v>18</x:v>
      </x:c>
      <x:c r="B24" s="3" t="str">
        <x:f>Matchschema!B19</x:f>
        <x:v>Gruppspel</x:v>
      </x:c>
      <x:c r="C24" s="3" t="str">
        <x:f>Matchschema!C19</x:f>
        <x:v>I</x:v>
      </x:c>
      <x:c r="D24" s="4" t="n">
        <x:f>Matchschema!D19</x:f>
        <x:v>46190</x:v>
      </x:c>
      <x:c r="E24" s="3" t="str">
        <x:f>Matchschema!E19</x:f>
        <x:v>00:00</x:v>
      </x:c>
      <x:c r="F24" s="3" t="str">
        <x:f>Matchschema!H19</x:f>
        <x:v>Iraq</x:v>
      </x:c>
      <x:c r="G24" s="3" t="str">
        <x:f>Matchschema!I19</x:f>
        <x:v>Norway</x:v>
      </x:c>
      <x:c r="H24" s="3" t="str">
        <x:f>Matchschema!J19</x:f>
        <x:v>Gillette Stadium, Foxborough</x:v>
      </x:c>
      <x:c r="I24" s="5"/>
      <x:c r="J24" s="5"/>
      <x:c r="K24" s="6" t="str">
        <x:f t="shared" si="0"/>
      </x:c>
      <x:c r="L24" s="8" t="str">
        <x:f>IF(Matchschema!$K19="","",IF(AND(I24=Matchschema!$K19,J24=Matchschema!$L19),Regler!$B$4,IF(K24=Matchschema!$M19,Regler!$B$5,0)))</x:f>
      </x:c>
      <x:c r="M24" s="3"/>
    </x:row>
    <x:row r="25" ht="15">
      <x:c r="A25" s="3" t="n">
        <x:f>Matchschema!A20</x:f>
        <x:v>19</x:v>
      </x:c>
      <x:c r="B25" s="3" t="str">
        <x:f>Matchschema!B20</x:f>
        <x:v>Gruppspel</x:v>
      </x:c>
      <x:c r="C25" s="3" t="str">
        <x:f>Matchschema!C20</x:f>
        <x:v>J</x:v>
      </x:c>
      <x:c r="D25" s="4" t="n">
        <x:f>Matchschema!D20</x:f>
        <x:v>46190.125</x:v>
      </x:c>
      <x:c r="E25" s="3" t="str">
        <x:f>Matchschema!E20</x:f>
        <x:v>03:00</x:v>
      </x:c>
      <x:c r="F25" s="3" t="str">
        <x:f>Matchschema!H20</x:f>
        <x:v>Argentina</x:v>
      </x:c>
      <x:c r="G25" s="3" t="str">
        <x:f>Matchschema!I20</x:f>
        <x:v>Algeria</x:v>
      </x:c>
      <x:c r="H25" s="3" t="str">
        <x:f>Matchschema!J20</x:f>
        <x:v>Arrowhead Stadium, Kansas City</x:v>
      </x:c>
      <x:c r="I25" s="5"/>
      <x:c r="J25" s="5"/>
      <x:c r="K25" s="6" t="str">
        <x:f t="shared" si="0"/>
      </x:c>
      <x:c r="L25" s="8" t="str">
        <x:f>IF(Matchschema!$K20="","",IF(AND(I25=Matchschema!$K20,J25=Matchschema!$L20),Regler!$B$4,IF(K25=Matchschema!$M20,Regler!$B$5,0)))</x:f>
      </x:c>
      <x:c r="M25" s="3"/>
    </x:row>
    <x:row r="26" ht="15">
      <x:c r="A26" s="3" t="n">
        <x:f>Matchschema!A21</x:f>
        <x:v>20</x:v>
      </x:c>
      <x:c r="B26" s="3" t="str">
        <x:f>Matchschema!B21</x:f>
        <x:v>Gruppspel</x:v>
      </x:c>
      <x:c r="C26" s="3" t="str">
        <x:f>Matchschema!C21</x:f>
        <x:v>J</x:v>
      </x:c>
      <x:c r="D26" s="4" t="n">
        <x:f>Matchschema!D21</x:f>
        <x:v>46190.25</x:v>
      </x:c>
      <x:c r="E26" s="3" t="str">
        <x:f>Matchschema!E21</x:f>
        <x:v>06:00</x:v>
      </x:c>
      <x:c r="F26" s="3" t="str">
        <x:f>Matchschema!H21</x:f>
        <x:v>Austria</x:v>
      </x:c>
      <x:c r="G26" s="3" t="str">
        <x:f>Matchschema!I21</x:f>
        <x:v>Jordan</x:v>
      </x:c>
      <x:c r="H26" s="3" t="str">
        <x:f>Matchschema!J21</x:f>
        <x:v>Levi’s Stadium, Santa Clara</x:v>
      </x:c>
      <x:c r="I26" s="5"/>
      <x:c r="J26" s="5"/>
      <x:c r="K26" s="6" t="str">
        <x:f t="shared" si="0"/>
      </x:c>
      <x:c r="L26" s="8" t="str">
        <x:f>IF(Matchschema!$K21="","",IF(AND(I26=Matchschema!$K21,J26=Matchschema!$L21),Regler!$B$4,IF(K26=Matchschema!$M21,Regler!$B$5,0)))</x:f>
      </x:c>
      <x:c r="M26" s="3"/>
    </x:row>
    <x:row r="27" ht="15">
      <x:c r="A27" s="3" t="n">
        <x:f>Matchschema!A22</x:f>
        <x:v>21</x:v>
      </x:c>
      <x:c r="B27" s="3" t="str">
        <x:f>Matchschema!B22</x:f>
        <x:v>Gruppspel</x:v>
      </x:c>
      <x:c r="C27" s="3" t="str">
        <x:f>Matchschema!C22</x:f>
        <x:v>K</x:v>
      </x:c>
      <x:c r="D27" s="4" t="n">
        <x:f>Matchschema!D22</x:f>
        <x:v>46190.791666666664</x:v>
      </x:c>
      <x:c r="E27" s="3" t="str">
        <x:f>Matchschema!E22</x:f>
        <x:v>19:00</x:v>
      </x:c>
      <x:c r="F27" s="3" t="str">
        <x:f>Matchschema!H22</x:f>
        <x:v>Portugal</x:v>
      </x:c>
      <x:c r="G27" s="3" t="str">
        <x:f>Matchschema!I22</x:f>
        <x:v>DR Congo</x:v>
      </x:c>
      <x:c r="H27" s="3" t="str">
        <x:f>Matchschema!J22</x:f>
        <x:v>NRG Stadium, Houston</x:v>
      </x:c>
      <x:c r="I27" s="5"/>
      <x:c r="J27" s="5"/>
      <x:c r="K27" s="6" t="str">
        <x:f t="shared" si="0"/>
      </x:c>
      <x:c r="L27" s="8" t="str">
        <x:f>IF(Matchschema!$K22="","",IF(AND(I27=Matchschema!$K22,J27=Matchschema!$L22),Regler!$B$4,IF(K27=Matchschema!$M22,Regler!$B$5,0)))</x:f>
      </x:c>
      <x:c r="M27" s="3"/>
    </x:row>
    <x:row r="28" ht="15">
      <x:c r="A28" s="3" t="n">
        <x:f>Matchschema!A23</x:f>
        <x:v>22</x:v>
      </x:c>
      <x:c r="B28" s="3" t="str">
        <x:f>Matchschema!B23</x:f>
        <x:v>Gruppspel</x:v>
      </x:c>
      <x:c r="C28" s="3" t="str">
        <x:f>Matchschema!C23</x:f>
        <x:v>L</x:v>
      </x:c>
      <x:c r="D28" s="4" t="n">
        <x:f>Matchschema!D23</x:f>
        <x:v>46190.916666666664</x:v>
      </x:c>
      <x:c r="E28" s="3" t="str">
        <x:f>Matchschema!E23</x:f>
        <x:v>22:00</x:v>
      </x:c>
      <x:c r="F28" s="3" t="str">
        <x:f>Matchschema!H23</x:f>
        <x:v>England</x:v>
      </x:c>
      <x:c r="G28" s="3" t="str">
        <x:f>Matchschema!I23</x:f>
        <x:v>Croatia</x:v>
      </x:c>
      <x:c r="H28" s="3" t="str">
        <x:f>Matchschema!J23</x:f>
        <x:v>AT&amp;T Stadium, Arlington</x:v>
      </x:c>
      <x:c r="I28" s="5"/>
      <x:c r="J28" s="5"/>
      <x:c r="K28" s="6" t="str">
        <x:f t="shared" si="0"/>
      </x:c>
      <x:c r="L28" s="8" t="str">
        <x:f>IF(Matchschema!$K23="","",IF(AND(I28=Matchschema!$K23,J28=Matchschema!$L23),Regler!$B$4,IF(K28=Matchschema!$M23,Regler!$B$5,0)))</x:f>
      </x:c>
      <x:c r="M28" s="3"/>
    </x:row>
    <x:row r="29" ht="15">
      <x:c r="A29" s="3" t="n">
        <x:f>Matchschema!A24</x:f>
        <x:v>23</x:v>
      </x:c>
      <x:c r="B29" s="3" t="str">
        <x:f>Matchschema!B24</x:f>
        <x:v>Gruppspel</x:v>
      </x:c>
      <x:c r="C29" s="3" t="str">
        <x:f>Matchschema!C24</x:f>
        <x:v>L</x:v>
      </x:c>
      <x:c r="D29" s="4" t="n">
        <x:f>Matchschema!D24</x:f>
        <x:v>46191.041666666664</x:v>
      </x:c>
      <x:c r="E29" s="3" t="str">
        <x:f>Matchschema!E24</x:f>
        <x:v>01:00</x:v>
      </x:c>
      <x:c r="F29" s="3" t="str">
        <x:f>Matchschema!H24</x:f>
        <x:v>Ghana</x:v>
      </x:c>
      <x:c r="G29" s="3" t="str">
        <x:f>Matchschema!I24</x:f>
        <x:v>Panama</x:v>
      </x:c>
      <x:c r="H29" s="3" t="str">
        <x:f>Matchschema!J24</x:f>
        <x:v>BMO Field, Toronto</x:v>
      </x:c>
      <x:c r="I29" s="5"/>
      <x:c r="J29" s="5"/>
      <x:c r="K29" s="6" t="str">
        <x:f t="shared" si="0"/>
      </x:c>
      <x:c r="L29" s="8" t="str">
        <x:f>IF(Matchschema!$K24="","",IF(AND(I29=Matchschema!$K24,J29=Matchschema!$L24),Regler!$B$4,IF(K29=Matchschema!$M24,Regler!$B$5,0)))</x:f>
      </x:c>
      <x:c r="M29" s="3"/>
    </x:row>
    <x:row r="30" ht="15">
      <x:c r="A30" s="3" t="n">
        <x:f>Matchschema!A25</x:f>
        <x:v>24</x:v>
      </x:c>
      <x:c r="B30" s="3" t="str">
        <x:f>Matchschema!B25</x:f>
        <x:v>Gruppspel</x:v>
      </x:c>
      <x:c r="C30" s="3" t="str">
        <x:f>Matchschema!C25</x:f>
        <x:v>K</x:v>
      </x:c>
      <x:c r="D30" s="4" t="n">
        <x:f>Matchschema!D25</x:f>
        <x:v>46191.166666666664</x:v>
      </x:c>
      <x:c r="E30" s="3" t="str">
        <x:f>Matchschema!E25</x:f>
        <x:v>04:00</x:v>
      </x:c>
      <x:c r="F30" s="3" t="str">
        <x:f>Matchschema!H25</x:f>
        <x:v>Uzbekistan</x:v>
      </x:c>
      <x:c r="G30" s="3" t="str">
        <x:f>Matchschema!I25</x:f>
        <x:v>Colombia</x:v>
      </x:c>
      <x:c r="H30" s="3" t="str">
        <x:f>Matchschema!J25</x:f>
        <x:v>Estadio Azteca, Mexico City</x:v>
      </x:c>
      <x:c r="I30" s="5"/>
      <x:c r="J30" s="5"/>
      <x:c r="K30" s="6" t="str">
        <x:f t="shared" si="0"/>
      </x:c>
      <x:c r="L30" s="8" t="str">
        <x:f>IF(Matchschema!$K25="","",IF(AND(I30=Matchschema!$K25,J30=Matchschema!$L25),Regler!$B$4,IF(K30=Matchschema!$M25,Regler!$B$5,0)))</x:f>
      </x:c>
      <x:c r="M30" s="3"/>
    </x:row>
    <x:row r="31" ht="15">
      <x:c r="A31" s="3" t="n">
        <x:f>Matchschema!A26</x:f>
        <x:v>25</x:v>
      </x:c>
      <x:c r="B31" s="3" t="str">
        <x:f>Matchschema!B26</x:f>
        <x:v>Gruppspel</x:v>
      </x:c>
      <x:c r="C31" s="3" t="str">
        <x:f>Matchschema!C26</x:f>
        <x:v>A</x:v>
      </x:c>
      <x:c r="D31" s="4" t="n">
        <x:f>Matchschema!D26</x:f>
        <x:v>46191.75</x:v>
      </x:c>
      <x:c r="E31" s="3" t="str">
        <x:f>Matchschema!E26</x:f>
        <x:v>18:00</x:v>
      </x:c>
      <x:c r="F31" s="3" t="str">
        <x:f>Matchschema!H26</x:f>
        <x:v>Czechia</x:v>
      </x:c>
      <x:c r="G31" s="3" t="str">
        <x:f>Matchschema!I26</x:f>
        <x:v>South Africa</x:v>
      </x:c>
      <x:c r="H31" s="3" t="str">
        <x:f>Matchschema!J26</x:f>
        <x:v>Mercedes-Benz Stadium, Atlanta</x:v>
      </x:c>
      <x:c r="I31" s="5"/>
      <x:c r="J31" s="5"/>
      <x:c r="K31" s="6" t="str">
        <x:f t="shared" si="0"/>
      </x:c>
      <x:c r="L31" s="8" t="str">
        <x:f>IF(Matchschema!$K26="","",IF(AND(I31=Matchschema!$K26,J31=Matchschema!$L26),Regler!$B$4,IF(K31=Matchschema!$M26,Regler!$B$5,0)))</x:f>
      </x:c>
      <x:c r="M31" s="3"/>
    </x:row>
    <x:row r="32" ht="15">
      <x:c r="A32" s="3" t="n">
        <x:f>Matchschema!A27</x:f>
        <x:v>26</x:v>
      </x:c>
      <x:c r="B32" s="3" t="str">
        <x:f>Matchschema!B27</x:f>
        <x:v>Gruppspel</x:v>
      </x:c>
      <x:c r="C32" s="3" t="str">
        <x:f>Matchschema!C27</x:f>
        <x:v>B</x:v>
      </x:c>
      <x:c r="D32" s="4" t="n">
        <x:f>Matchschema!D27</x:f>
        <x:v>46191.875</x:v>
      </x:c>
      <x:c r="E32" s="3" t="str">
        <x:f>Matchschema!E27</x:f>
        <x:v>21:00</x:v>
      </x:c>
      <x:c r="F32" s="3" t="str">
        <x:f>Matchschema!H27</x:f>
        <x:v>Switzerland</x:v>
      </x:c>
      <x:c r="G32" s="3" t="str">
        <x:f>Matchschema!I27</x:f>
        <x:v>Bosnia &amp; Herzegovina</x:v>
      </x:c>
      <x:c r="H32" s="3" t="str">
        <x:f>Matchschema!J27</x:f>
        <x:v>SoFi Stadium, Inglewood</x:v>
      </x:c>
      <x:c r="I32" s="5"/>
      <x:c r="J32" s="5"/>
      <x:c r="K32" s="6" t="str">
        <x:f t="shared" si="0"/>
      </x:c>
      <x:c r="L32" s="8" t="str">
        <x:f>IF(Matchschema!$K27="","",IF(AND(I32=Matchschema!$K27,J32=Matchschema!$L27),Regler!$B$4,IF(K32=Matchschema!$M27,Regler!$B$5,0)))</x:f>
      </x:c>
      <x:c r="M32" s="3"/>
    </x:row>
    <x:row r="33" ht="15">
      <x:c r="A33" s="3" t="n">
        <x:f>Matchschema!A28</x:f>
        <x:v>27</x:v>
      </x:c>
      <x:c r="B33" s="3" t="str">
        <x:f>Matchschema!B28</x:f>
        <x:v>Gruppspel</x:v>
      </x:c>
      <x:c r="C33" s="3" t="str">
        <x:f>Matchschema!C28</x:f>
        <x:v>B</x:v>
      </x:c>
      <x:c r="D33" s="4" t="n">
        <x:f>Matchschema!D28</x:f>
        <x:v>46192</x:v>
      </x:c>
      <x:c r="E33" s="3" t="str">
        <x:f>Matchschema!E28</x:f>
        <x:v>00:00</x:v>
      </x:c>
      <x:c r="F33" s="3" t="str">
        <x:f>Matchschema!H28</x:f>
        <x:v>Canada</x:v>
      </x:c>
      <x:c r="G33" s="3" t="str">
        <x:f>Matchschema!I28</x:f>
        <x:v>Qatar</x:v>
      </x:c>
      <x:c r="H33" s="3" t="str">
        <x:f>Matchschema!J28</x:f>
        <x:v>BC Place, Vancouver</x:v>
      </x:c>
      <x:c r="I33" s="5"/>
      <x:c r="J33" s="5"/>
      <x:c r="K33" s="6" t="str">
        <x:f t="shared" si="0"/>
      </x:c>
      <x:c r="L33" s="8" t="str">
        <x:f>IF(Matchschema!$K28="","",IF(AND(I33=Matchschema!$K28,J33=Matchschema!$L28),Regler!$B$4,IF(K33=Matchschema!$M28,Regler!$B$5,0)))</x:f>
      </x:c>
      <x:c r="M33" s="3"/>
    </x:row>
    <x:row r="34" ht="15">
      <x:c r="A34" s="3" t="n">
        <x:f>Matchschema!A29</x:f>
        <x:v>28</x:v>
      </x:c>
      <x:c r="B34" s="3" t="str">
        <x:f>Matchschema!B29</x:f>
        <x:v>Gruppspel</x:v>
      </x:c>
      <x:c r="C34" s="3" t="str">
        <x:f>Matchschema!C29</x:f>
        <x:v>A</x:v>
      </x:c>
      <x:c r="D34" s="4" t="n">
        <x:f>Matchschema!D29</x:f>
        <x:v>46192.125</x:v>
      </x:c>
      <x:c r="E34" s="3" t="str">
        <x:f>Matchschema!E29</x:f>
        <x:v>03:00</x:v>
      </x:c>
      <x:c r="F34" s="3" t="str">
        <x:f>Matchschema!H29</x:f>
        <x:v>Mexico</x:v>
      </x:c>
      <x:c r="G34" s="3" t="str">
        <x:f>Matchschema!I29</x:f>
        <x:v>South Korea</x:v>
      </x:c>
      <x:c r="H34" s="3" t="str">
        <x:f>Matchschema!J29</x:f>
        <x:v>Estadio Akron, Zapopan</x:v>
      </x:c>
      <x:c r="I34" s="5"/>
      <x:c r="J34" s="5"/>
      <x:c r="K34" s="6" t="str">
        <x:f t="shared" si="0"/>
      </x:c>
      <x:c r="L34" s="8" t="str">
        <x:f>IF(Matchschema!$K29="","",IF(AND(I34=Matchschema!$K29,J34=Matchschema!$L29),Regler!$B$4,IF(K34=Matchschema!$M29,Regler!$B$5,0)))</x:f>
      </x:c>
      <x:c r="M34" s="3"/>
    </x:row>
    <x:row r="35" ht="15">
      <x:c r="A35" s="3" t="n">
        <x:f>Matchschema!A30</x:f>
        <x:v>29</x:v>
      </x:c>
      <x:c r="B35" s="3" t="str">
        <x:f>Matchschema!B30</x:f>
        <x:v>Gruppspel</x:v>
      </x:c>
      <x:c r="C35" s="3" t="str">
        <x:f>Matchschema!C30</x:f>
        <x:v>D</x:v>
      </x:c>
      <x:c r="D35" s="4" t="n">
        <x:f>Matchschema!D30</x:f>
        <x:v>46192.875</x:v>
      </x:c>
      <x:c r="E35" s="3" t="str">
        <x:f>Matchschema!E30</x:f>
        <x:v>21:00</x:v>
      </x:c>
      <x:c r="F35" s="3" t="str">
        <x:f>Matchschema!H30</x:f>
        <x:v>USA</x:v>
      </x:c>
      <x:c r="G35" s="3" t="str">
        <x:f>Matchschema!I30</x:f>
        <x:v>Australia</x:v>
      </x:c>
      <x:c r="H35" s="3" t="str">
        <x:f>Matchschema!J30</x:f>
        <x:v>Lumen Field, Seattle</x:v>
      </x:c>
      <x:c r="I35" s="5"/>
      <x:c r="J35" s="5"/>
      <x:c r="K35" s="6" t="str">
        <x:f t="shared" si="0"/>
      </x:c>
      <x:c r="L35" s="8" t="str">
        <x:f>IF(Matchschema!$K30="","",IF(AND(I35=Matchschema!$K30,J35=Matchschema!$L30),Regler!$B$4,IF(K35=Matchschema!$M30,Regler!$B$5,0)))</x:f>
      </x:c>
      <x:c r="M35" s="3"/>
    </x:row>
    <x:row r="36" ht="15">
      <x:c r="A36" s="3" t="n">
        <x:f>Matchschema!A31</x:f>
        <x:v>30</x:v>
      </x:c>
      <x:c r="B36" s="3" t="str">
        <x:f>Matchschema!B31</x:f>
        <x:v>Gruppspel</x:v>
      </x:c>
      <x:c r="C36" s="3" t="str">
        <x:f>Matchschema!C31</x:f>
        <x:v>C</x:v>
      </x:c>
      <x:c r="D36" s="4" t="n">
        <x:f>Matchschema!D31</x:f>
        <x:v>46193</x:v>
      </x:c>
      <x:c r="E36" s="3" t="str">
        <x:f>Matchschema!E31</x:f>
        <x:v>00:00</x:v>
      </x:c>
      <x:c r="F36" s="3" t="str">
        <x:f>Matchschema!H31</x:f>
        <x:v>Scotland</x:v>
      </x:c>
      <x:c r="G36" s="3" t="str">
        <x:f>Matchschema!I31</x:f>
        <x:v>Morocco</x:v>
      </x:c>
      <x:c r="H36" s="3" t="str">
        <x:f>Matchschema!J31</x:f>
        <x:v>Gillette Stadium, Foxborough</x:v>
      </x:c>
      <x:c r="I36" s="5"/>
      <x:c r="J36" s="5"/>
      <x:c r="K36" s="6" t="str">
        <x:f t="shared" si="0"/>
      </x:c>
      <x:c r="L36" s="8" t="str">
        <x:f>IF(Matchschema!$K31="","",IF(AND(I36=Matchschema!$K31,J36=Matchschema!$L31),Regler!$B$4,IF(K36=Matchschema!$M31,Regler!$B$5,0)))</x:f>
      </x:c>
      <x:c r="M36" s="3"/>
    </x:row>
    <x:row r="37" ht="15">
      <x:c r="A37" s="3" t="n">
        <x:f>Matchschema!A32</x:f>
        <x:v>31</x:v>
      </x:c>
      <x:c r="B37" s="3" t="str">
        <x:f>Matchschema!B32</x:f>
        <x:v>Gruppspel</x:v>
      </x:c>
      <x:c r="C37" s="3" t="str">
        <x:f>Matchschema!C32</x:f>
        <x:v>C</x:v>
      </x:c>
      <x:c r="D37" s="4" t="n">
        <x:f>Matchschema!D32</x:f>
        <x:v>46193.104166666664</x:v>
      </x:c>
      <x:c r="E37" s="3" t="str">
        <x:f>Matchschema!E32</x:f>
        <x:v>02:30</x:v>
      </x:c>
      <x:c r="F37" s="3" t="str">
        <x:f>Matchschema!H32</x:f>
        <x:v>Brazil</x:v>
      </x:c>
      <x:c r="G37" s="3" t="str">
        <x:f>Matchschema!I32</x:f>
        <x:v>Haiti</x:v>
      </x:c>
      <x:c r="H37" s="3" t="str">
        <x:f>Matchschema!J32</x:f>
        <x:v>Lincoln Financial Field, Philadelphia</x:v>
      </x:c>
      <x:c r="I37" s="5"/>
      <x:c r="J37" s="5"/>
      <x:c r="K37" s="6" t="str">
        <x:f t="shared" si="0"/>
      </x:c>
      <x:c r="L37" s="8" t="str">
        <x:f>IF(Matchschema!$K32="","",IF(AND(I37=Matchschema!$K32,J37=Matchschema!$L32),Regler!$B$4,IF(K37=Matchschema!$M32,Regler!$B$5,0)))</x:f>
      </x:c>
      <x:c r="M37" s="3"/>
    </x:row>
    <x:row r="38" ht="15">
      <x:c r="A38" s="3" t="n">
        <x:f>Matchschema!A33</x:f>
        <x:v>32</x:v>
      </x:c>
      <x:c r="B38" s="3" t="str">
        <x:f>Matchschema!B33</x:f>
        <x:v>Gruppspel</x:v>
      </x:c>
      <x:c r="C38" s="3" t="str">
        <x:f>Matchschema!C33</x:f>
        <x:v>D</x:v>
      </x:c>
      <x:c r="D38" s="4" t="n">
        <x:f>Matchschema!D33</x:f>
        <x:v>46193.208333333336</x:v>
      </x:c>
      <x:c r="E38" s="3" t="str">
        <x:f>Matchschema!E33</x:f>
        <x:v>05:00</x:v>
      </x:c>
      <x:c r="F38" s="3" t="str">
        <x:f>Matchschema!H33</x:f>
        <x:v>Türkiye</x:v>
      </x:c>
      <x:c r="G38" s="3" t="str">
        <x:f>Matchschema!I33</x:f>
        <x:v>Paraguay</x:v>
      </x:c>
      <x:c r="H38" s="3" t="str">
        <x:f>Matchschema!J33</x:f>
        <x:v>Levi’s Stadium, Santa Clara</x:v>
      </x:c>
      <x:c r="I38" s="5"/>
      <x:c r="J38" s="5"/>
      <x:c r="K38" s="6" t="str">
        <x:f t="shared" si="0"/>
      </x:c>
      <x:c r="L38" s="8" t="str">
        <x:f>IF(Matchschema!$K33="","",IF(AND(I38=Matchschema!$K33,J38=Matchschema!$L33),Regler!$B$4,IF(K38=Matchschema!$M33,Regler!$B$5,0)))</x:f>
      </x:c>
      <x:c r="M38" s="3"/>
    </x:row>
    <x:row r="39" ht="15">
      <x:c r="A39" s="3" t="n">
        <x:f>Matchschema!A34</x:f>
        <x:v>33</x:v>
      </x:c>
      <x:c r="B39" s="3" t="str">
        <x:f>Matchschema!B34</x:f>
        <x:v>Gruppspel</x:v>
      </x:c>
      <x:c r="C39" s="3" t="str">
        <x:f>Matchschema!C34</x:f>
        <x:v>F</x:v>
      </x:c>
      <x:c r="D39" s="4" t="n">
        <x:f>Matchschema!D34</x:f>
        <x:v>46193.791666666664</x:v>
      </x:c>
      <x:c r="E39" s="3" t="str">
        <x:f>Matchschema!E34</x:f>
        <x:v>19:00</x:v>
      </x:c>
      <x:c r="F39" s="3" t="str">
        <x:f>Matchschema!H34</x:f>
        <x:v>Netherlands</x:v>
      </x:c>
      <x:c r="G39" s="3" t="str">
        <x:f>Matchschema!I34</x:f>
        <x:v>Sweden</x:v>
      </x:c>
      <x:c r="H39" s="3" t="str">
        <x:f>Matchschema!J34</x:f>
        <x:v>NRG Stadium, Houston</x:v>
      </x:c>
      <x:c r="I39" s="5"/>
      <x:c r="J39" s="5"/>
      <x:c r="K39" s="6" t="str">
        <x:f t="shared" ref="K39:K70" si="1">IF(OR(I39="",J39=""),"",IF(I39&gt;J39,"1",IF(I39=J39,"X","2")))</x:f>
      </x:c>
      <x:c r="L39" s="8" t="str">
        <x:f>IF(Matchschema!$K34="","",IF(AND(I39=Matchschema!$K34,J39=Matchschema!$L34),Regler!$B$4,IF(K39=Matchschema!$M34,Regler!$B$5,0)))</x:f>
      </x:c>
      <x:c r="M39" s="3"/>
    </x:row>
    <x:row r="40" ht="15">
      <x:c r="A40" s="3" t="n">
        <x:f>Matchschema!A35</x:f>
        <x:v>34</x:v>
      </x:c>
      <x:c r="B40" s="3" t="str">
        <x:f>Matchschema!B35</x:f>
        <x:v>Gruppspel</x:v>
      </x:c>
      <x:c r="C40" s="3" t="str">
        <x:f>Matchschema!C35</x:f>
        <x:v>E</x:v>
      </x:c>
      <x:c r="D40" s="4" t="n">
        <x:f>Matchschema!D35</x:f>
        <x:v>46193.916666666664</x:v>
      </x:c>
      <x:c r="E40" s="3" t="str">
        <x:f>Matchschema!E35</x:f>
        <x:v>22:00</x:v>
      </x:c>
      <x:c r="F40" s="3" t="str">
        <x:f>Matchschema!H35</x:f>
        <x:v>Germany</x:v>
      </x:c>
      <x:c r="G40" s="3" t="str">
        <x:f>Matchschema!I35</x:f>
        <x:v>Ivory Coast</x:v>
      </x:c>
      <x:c r="H40" s="3" t="str">
        <x:f>Matchschema!J35</x:f>
        <x:v>BMO Field, Toronto</x:v>
      </x:c>
      <x:c r="I40" s="5"/>
      <x:c r="J40" s="5"/>
      <x:c r="K40" s="6" t="str">
        <x:f t="shared" si="1"/>
      </x:c>
      <x:c r="L40" s="8" t="str">
        <x:f>IF(Matchschema!$K35="","",IF(AND(I40=Matchschema!$K35,J40=Matchschema!$L35),Regler!$B$4,IF(K40=Matchschema!$M35,Regler!$B$5,0)))</x:f>
      </x:c>
      <x:c r="M40" s="3"/>
    </x:row>
    <x:row r="41" ht="15">
      <x:c r="A41" s="3" t="n">
        <x:f>Matchschema!A36</x:f>
        <x:v>35</x:v>
      </x:c>
      <x:c r="B41" s="3" t="str">
        <x:f>Matchschema!B36</x:f>
        <x:v>Gruppspel</x:v>
      </x:c>
      <x:c r="C41" s="3" t="str">
        <x:f>Matchschema!C36</x:f>
        <x:v>E</x:v>
      </x:c>
      <x:c r="D41" s="4" t="n">
        <x:f>Matchschema!D36</x:f>
        <x:v>46194.083333333336</x:v>
      </x:c>
      <x:c r="E41" s="3" t="str">
        <x:f>Matchschema!E36</x:f>
        <x:v>02:00</x:v>
      </x:c>
      <x:c r="F41" s="3" t="str">
        <x:f>Matchschema!H36</x:f>
        <x:v>Ecuador</x:v>
      </x:c>
      <x:c r="G41" s="3" t="str">
        <x:f>Matchschema!I36</x:f>
        <x:v>Curaçao</x:v>
      </x:c>
      <x:c r="H41" s="3" t="str">
        <x:f>Matchschema!J36</x:f>
        <x:v>Arrowhead Stadium, Kansas City</x:v>
      </x:c>
      <x:c r="I41" s="5"/>
      <x:c r="J41" s="5"/>
      <x:c r="K41" s="6" t="str">
        <x:f t="shared" si="1"/>
      </x:c>
      <x:c r="L41" s="8" t="str">
        <x:f>IF(Matchschema!$K36="","",IF(AND(I41=Matchschema!$K36,J41=Matchschema!$L36),Regler!$B$4,IF(K41=Matchschema!$M36,Regler!$B$5,0)))</x:f>
      </x:c>
      <x:c r="M41" s="3"/>
    </x:row>
    <x:row r="42" ht="15">
      <x:c r="A42" s="3" t="n">
        <x:f>Matchschema!A37</x:f>
        <x:v>36</x:v>
      </x:c>
      <x:c r="B42" s="3" t="str">
        <x:f>Matchschema!B37</x:f>
        <x:v>Gruppspel</x:v>
      </x:c>
      <x:c r="C42" s="3" t="str">
        <x:f>Matchschema!C37</x:f>
        <x:v>F</x:v>
      </x:c>
      <x:c r="D42" s="4" t="n">
        <x:f>Matchschema!D37</x:f>
        <x:v>46194.25</x:v>
      </x:c>
      <x:c r="E42" s="3" t="str">
        <x:f>Matchschema!E37</x:f>
        <x:v>06:00</x:v>
      </x:c>
      <x:c r="F42" s="3" t="str">
        <x:f>Matchschema!H37</x:f>
        <x:v>Tunisia</x:v>
      </x:c>
      <x:c r="G42" s="3" t="str">
        <x:f>Matchschema!I37</x:f>
        <x:v>Japan</x:v>
      </x:c>
      <x:c r="H42" s="3" t="str">
        <x:f>Matchschema!J37</x:f>
        <x:v>Estadio BBVA, Monterrey</x:v>
      </x:c>
      <x:c r="I42" s="5"/>
      <x:c r="J42" s="5"/>
      <x:c r="K42" s="6" t="str">
        <x:f t="shared" si="1"/>
      </x:c>
      <x:c r="L42" s="8" t="str">
        <x:f>IF(Matchschema!$K37="","",IF(AND(I42=Matchschema!$K37,J42=Matchschema!$L37),Regler!$B$4,IF(K42=Matchschema!$M37,Regler!$B$5,0)))</x:f>
      </x:c>
      <x:c r="M42" s="3"/>
    </x:row>
    <x:row r="43" ht="15">
      <x:c r="A43" s="3" t="n">
        <x:f>Matchschema!A38</x:f>
        <x:v>37</x:v>
      </x:c>
      <x:c r="B43" s="3" t="str">
        <x:f>Matchschema!B38</x:f>
        <x:v>Gruppspel</x:v>
      </x:c>
      <x:c r="C43" s="3" t="str">
        <x:f>Matchschema!C38</x:f>
        <x:v>H</x:v>
      </x:c>
      <x:c r="D43" s="4" t="n">
        <x:f>Matchschema!D38</x:f>
        <x:v>46194.75</x:v>
      </x:c>
      <x:c r="E43" s="3" t="str">
        <x:f>Matchschema!E38</x:f>
        <x:v>18:00</x:v>
      </x:c>
      <x:c r="F43" s="3" t="str">
        <x:f>Matchschema!H38</x:f>
        <x:v>Spain</x:v>
      </x:c>
      <x:c r="G43" s="3" t="str">
        <x:f>Matchschema!I38</x:f>
        <x:v>Saudi Arabia</x:v>
      </x:c>
      <x:c r="H43" s="3" t="str">
        <x:f>Matchschema!J38</x:f>
        <x:v>Mercedes-Benz Stadium, Atlanta</x:v>
      </x:c>
      <x:c r="I43" s="5"/>
      <x:c r="J43" s="5"/>
      <x:c r="K43" s="6" t="str">
        <x:f t="shared" si="1"/>
      </x:c>
      <x:c r="L43" s="8" t="str">
        <x:f>IF(Matchschema!$K38="","",IF(AND(I43=Matchschema!$K38,J43=Matchschema!$L38),Regler!$B$4,IF(K43=Matchschema!$M38,Regler!$B$5,0)))</x:f>
      </x:c>
      <x:c r="M43" s="3"/>
    </x:row>
    <x:row r="44" ht="15">
      <x:c r="A44" s="3" t="n">
        <x:f>Matchschema!A39</x:f>
        <x:v>38</x:v>
      </x:c>
      <x:c r="B44" s="3" t="str">
        <x:f>Matchschema!B39</x:f>
        <x:v>Gruppspel</x:v>
      </x:c>
      <x:c r="C44" s="3" t="str">
        <x:f>Matchschema!C39</x:f>
        <x:v>G</x:v>
      </x:c>
      <x:c r="D44" s="4" t="n">
        <x:f>Matchschema!D39</x:f>
        <x:v>46194.875</x:v>
      </x:c>
      <x:c r="E44" s="3" t="str">
        <x:f>Matchschema!E39</x:f>
        <x:v>21:00</x:v>
      </x:c>
      <x:c r="F44" s="3" t="str">
        <x:f>Matchschema!H39</x:f>
        <x:v>Belgium</x:v>
      </x:c>
      <x:c r="G44" s="3" t="str">
        <x:f>Matchschema!I39</x:f>
        <x:v>Iran</x:v>
      </x:c>
      <x:c r="H44" s="3" t="str">
        <x:f>Matchschema!J39</x:f>
        <x:v>SoFi Stadium, Inglewood</x:v>
      </x:c>
      <x:c r="I44" s="5"/>
      <x:c r="J44" s="5"/>
      <x:c r="K44" s="6" t="str">
        <x:f t="shared" si="1"/>
      </x:c>
      <x:c r="L44" s="8" t="str">
        <x:f>IF(Matchschema!$K39="","",IF(AND(I44=Matchschema!$K39,J44=Matchschema!$L39),Regler!$B$4,IF(K44=Matchschema!$M39,Regler!$B$5,0)))</x:f>
      </x:c>
      <x:c r="M44" s="3"/>
    </x:row>
    <x:row r="45" ht="15">
      <x:c r="A45" s="3" t="n">
        <x:f>Matchschema!A40</x:f>
        <x:v>39</x:v>
      </x:c>
      <x:c r="B45" s="3" t="str">
        <x:f>Matchschema!B40</x:f>
        <x:v>Gruppspel</x:v>
      </x:c>
      <x:c r="C45" s="3" t="str">
        <x:f>Matchschema!C40</x:f>
        <x:v>H</x:v>
      </x:c>
      <x:c r="D45" s="4" t="n">
        <x:f>Matchschema!D40</x:f>
        <x:v>46195</x:v>
      </x:c>
      <x:c r="E45" s="3" t="str">
        <x:f>Matchschema!E40</x:f>
        <x:v>00:00</x:v>
      </x:c>
      <x:c r="F45" s="3" t="str">
        <x:f>Matchschema!H40</x:f>
        <x:v>Uruguay</x:v>
      </x:c>
      <x:c r="G45" s="3" t="str">
        <x:f>Matchschema!I40</x:f>
        <x:v>Cape Verde</x:v>
      </x:c>
      <x:c r="H45" s="3" t="str">
        <x:f>Matchschema!J40</x:f>
        <x:v>Hard Rock Stadium, Miami Gardens</x:v>
      </x:c>
      <x:c r="I45" s="5"/>
      <x:c r="J45" s="5"/>
      <x:c r="K45" s="6" t="str">
        <x:f t="shared" si="1"/>
      </x:c>
      <x:c r="L45" s="8" t="str">
        <x:f>IF(Matchschema!$K40="","",IF(AND(I45=Matchschema!$K40,J45=Matchschema!$L40),Regler!$B$4,IF(K45=Matchschema!$M40,Regler!$B$5,0)))</x:f>
      </x:c>
      <x:c r="M45" s="3"/>
    </x:row>
    <x:row r="46" ht="15">
      <x:c r="A46" s="3" t="n">
        <x:f>Matchschema!A41</x:f>
        <x:v>40</x:v>
      </x:c>
      <x:c r="B46" s="3" t="str">
        <x:f>Matchschema!B41</x:f>
        <x:v>Gruppspel</x:v>
      </x:c>
      <x:c r="C46" s="3" t="str">
        <x:f>Matchschema!C41</x:f>
        <x:v>G</x:v>
      </x:c>
      <x:c r="D46" s="4" t="n">
        <x:f>Matchschema!D41</x:f>
        <x:v>46195.125</x:v>
      </x:c>
      <x:c r="E46" s="3" t="str">
        <x:f>Matchschema!E41</x:f>
        <x:v>03:00</x:v>
      </x:c>
      <x:c r="F46" s="3" t="str">
        <x:f>Matchschema!H41</x:f>
        <x:v>New Zealand</x:v>
      </x:c>
      <x:c r="G46" s="3" t="str">
        <x:f>Matchschema!I41</x:f>
        <x:v>Egypt</x:v>
      </x:c>
      <x:c r="H46" s="3" t="str">
        <x:f>Matchschema!J41</x:f>
        <x:v>BC Place, Vancouver</x:v>
      </x:c>
      <x:c r="I46" s="5"/>
      <x:c r="J46" s="5"/>
      <x:c r="K46" s="6" t="str">
        <x:f t="shared" si="1"/>
      </x:c>
      <x:c r="L46" s="8" t="str">
        <x:f>IF(Matchschema!$K41="","",IF(AND(I46=Matchschema!$K41,J46=Matchschema!$L41),Regler!$B$4,IF(K46=Matchschema!$M41,Regler!$B$5,0)))</x:f>
      </x:c>
      <x:c r="M46" s="3"/>
    </x:row>
    <x:row r="47" ht="15">
      <x:c r="A47" s="3" t="n">
        <x:f>Matchschema!A42</x:f>
        <x:v>41</x:v>
      </x:c>
      <x:c r="B47" s="3" t="str">
        <x:f>Matchschema!B42</x:f>
        <x:v>Gruppspel</x:v>
      </x:c>
      <x:c r="C47" s="3" t="str">
        <x:f>Matchschema!C42</x:f>
        <x:v>J</x:v>
      </x:c>
      <x:c r="D47" s="4" t="n">
        <x:f>Matchschema!D42</x:f>
        <x:v>46195.791666666664</x:v>
      </x:c>
      <x:c r="E47" s="3" t="str">
        <x:f>Matchschema!E42</x:f>
        <x:v>19:00</x:v>
      </x:c>
      <x:c r="F47" s="3" t="str">
        <x:f>Matchschema!H42</x:f>
        <x:v>Argentina</x:v>
      </x:c>
      <x:c r="G47" s="3" t="str">
        <x:f>Matchschema!I42</x:f>
        <x:v>Austria</x:v>
      </x:c>
      <x:c r="H47" s="3" t="str">
        <x:f>Matchschema!J42</x:f>
        <x:v>AT&amp;T Stadium, Arlington</x:v>
      </x:c>
      <x:c r="I47" s="5"/>
      <x:c r="J47" s="5"/>
      <x:c r="K47" s="6" t="str">
        <x:f t="shared" si="1"/>
      </x:c>
      <x:c r="L47" s="8" t="str">
        <x:f>IF(Matchschema!$K42="","",IF(AND(I47=Matchschema!$K42,J47=Matchschema!$L42),Regler!$B$4,IF(K47=Matchschema!$M42,Regler!$B$5,0)))</x:f>
      </x:c>
      <x:c r="M47" s="3"/>
    </x:row>
    <x:row r="48" ht="15">
      <x:c r="A48" s="3" t="n">
        <x:f>Matchschema!A43</x:f>
        <x:v>42</x:v>
      </x:c>
      <x:c r="B48" s="3" t="str">
        <x:f>Matchschema!B43</x:f>
        <x:v>Gruppspel</x:v>
      </x:c>
      <x:c r="C48" s="3" t="str">
        <x:f>Matchschema!C43</x:f>
        <x:v>I</x:v>
      </x:c>
      <x:c r="D48" s="4" t="n">
        <x:f>Matchschema!D43</x:f>
        <x:v>46195.958333333336</x:v>
      </x:c>
      <x:c r="E48" s="3" t="str">
        <x:f>Matchschema!E43</x:f>
        <x:v>23:00</x:v>
      </x:c>
      <x:c r="F48" s="3" t="str">
        <x:f>Matchschema!H43</x:f>
        <x:v>France</x:v>
      </x:c>
      <x:c r="G48" s="3" t="str">
        <x:f>Matchschema!I43</x:f>
        <x:v>Iraq</x:v>
      </x:c>
      <x:c r="H48" s="3" t="str">
        <x:f>Matchschema!J43</x:f>
        <x:v>Lincoln Financial Field, Philadelphia</x:v>
      </x:c>
      <x:c r="I48" s="5"/>
      <x:c r="J48" s="5"/>
      <x:c r="K48" s="6" t="str">
        <x:f t="shared" si="1"/>
      </x:c>
      <x:c r="L48" s="8" t="str">
        <x:f>IF(Matchschema!$K43="","",IF(AND(I48=Matchschema!$K43,J48=Matchschema!$L43),Regler!$B$4,IF(K48=Matchschema!$M43,Regler!$B$5,0)))</x:f>
      </x:c>
      <x:c r="M48" s="3"/>
    </x:row>
    <x:row r="49" ht="15">
      <x:c r="A49" s="3" t="n">
        <x:f>Matchschema!A44</x:f>
        <x:v>43</x:v>
      </x:c>
      <x:c r="B49" s="3" t="str">
        <x:f>Matchschema!B44</x:f>
        <x:v>Gruppspel</x:v>
      </x:c>
      <x:c r="C49" s="3" t="str">
        <x:f>Matchschema!C44</x:f>
        <x:v>I</x:v>
      </x:c>
      <x:c r="D49" s="4" t="n">
        <x:f>Matchschema!D44</x:f>
        <x:v>46196.083333333336</x:v>
      </x:c>
      <x:c r="E49" s="3" t="str">
        <x:f>Matchschema!E44</x:f>
        <x:v>02:00</x:v>
      </x:c>
      <x:c r="F49" s="3" t="str">
        <x:f>Matchschema!H44</x:f>
        <x:v>Norway</x:v>
      </x:c>
      <x:c r="G49" s="3" t="str">
        <x:f>Matchschema!I44</x:f>
        <x:v>Senegal</x:v>
      </x:c>
      <x:c r="H49" s="3" t="str">
        <x:f>Matchschema!J44</x:f>
        <x:v>MetLife Stadium, East Rutherford</x:v>
      </x:c>
      <x:c r="I49" s="5"/>
      <x:c r="J49" s="5"/>
      <x:c r="K49" s="6" t="str">
        <x:f t="shared" si="1"/>
      </x:c>
      <x:c r="L49" s="8" t="str">
        <x:f>IF(Matchschema!$K44="","",IF(AND(I49=Matchschema!$K44,J49=Matchschema!$L44),Regler!$B$4,IF(K49=Matchschema!$M44,Regler!$B$5,0)))</x:f>
      </x:c>
      <x:c r="M49" s="3"/>
    </x:row>
    <x:row r="50" ht="15">
      <x:c r="A50" s="3" t="n">
        <x:f>Matchschema!A45</x:f>
        <x:v>44</x:v>
      </x:c>
      <x:c r="B50" s="3" t="str">
        <x:f>Matchschema!B45</x:f>
        <x:v>Gruppspel</x:v>
      </x:c>
      <x:c r="C50" s="3" t="str">
        <x:f>Matchschema!C45</x:f>
        <x:v>J</x:v>
      </x:c>
      <x:c r="D50" s="4" t="n">
        <x:f>Matchschema!D45</x:f>
        <x:v>46196.208333333336</x:v>
      </x:c>
      <x:c r="E50" s="3" t="str">
        <x:f>Matchschema!E45</x:f>
        <x:v>05:00</x:v>
      </x:c>
      <x:c r="F50" s="3" t="str">
        <x:f>Matchschema!H45</x:f>
        <x:v>Jordan</x:v>
      </x:c>
      <x:c r="G50" s="3" t="str">
        <x:f>Matchschema!I45</x:f>
        <x:v>Algeria</x:v>
      </x:c>
      <x:c r="H50" s="3" t="str">
        <x:f>Matchschema!J45</x:f>
        <x:v>Levi’s Stadium, Santa Clara</x:v>
      </x:c>
      <x:c r="I50" s="5"/>
      <x:c r="J50" s="5"/>
      <x:c r="K50" s="6" t="str">
        <x:f t="shared" si="1"/>
      </x:c>
      <x:c r="L50" s="8" t="str">
        <x:f>IF(Matchschema!$K45="","",IF(AND(I50=Matchschema!$K45,J50=Matchschema!$L45),Regler!$B$4,IF(K50=Matchschema!$M45,Regler!$B$5,0)))</x:f>
      </x:c>
      <x:c r="M50" s="3"/>
    </x:row>
    <x:row r="51" ht="15">
      <x:c r="A51" s="3" t="n">
        <x:f>Matchschema!A46</x:f>
        <x:v>45</x:v>
      </x:c>
      <x:c r="B51" s="3" t="str">
        <x:f>Matchschema!B46</x:f>
        <x:v>Gruppspel</x:v>
      </x:c>
      <x:c r="C51" s="3" t="str">
        <x:f>Matchschema!C46</x:f>
        <x:v>K</x:v>
      </x:c>
      <x:c r="D51" s="4" t="n">
        <x:f>Matchschema!D46</x:f>
        <x:v>46196.791666666664</x:v>
      </x:c>
      <x:c r="E51" s="3" t="str">
        <x:f>Matchschema!E46</x:f>
        <x:v>19:00</x:v>
      </x:c>
      <x:c r="F51" s="3" t="str">
        <x:f>Matchschema!H46</x:f>
        <x:v>Portugal</x:v>
      </x:c>
      <x:c r="G51" s="3" t="str">
        <x:f>Matchschema!I46</x:f>
        <x:v>Uzbekistan</x:v>
      </x:c>
      <x:c r="H51" s="3" t="str">
        <x:f>Matchschema!J46</x:f>
        <x:v>NRG Stadium, Houston</x:v>
      </x:c>
      <x:c r="I51" s="5"/>
      <x:c r="J51" s="5"/>
      <x:c r="K51" s="6" t="str">
        <x:f t="shared" si="1"/>
      </x:c>
      <x:c r="L51" s="8" t="str">
        <x:f>IF(Matchschema!$K46="","",IF(AND(I51=Matchschema!$K46,J51=Matchschema!$L46),Regler!$B$4,IF(K51=Matchschema!$M46,Regler!$B$5,0)))</x:f>
      </x:c>
      <x:c r="M51" s="3"/>
    </x:row>
    <x:row r="52" ht="15">
      <x:c r="A52" s="3" t="n">
        <x:f>Matchschema!A47</x:f>
        <x:v>46</x:v>
      </x:c>
      <x:c r="B52" s="3" t="str">
        <x:f>Matchschema!B47</x:f>
        <x:v>Gruppspel</x:v>
      </x:c>
      <x:c r="C52" s="3" t="str">
        <x:f>Matchschema!C47</x:f>
        <x:v>L</x:v>
      </x:c>
      <x:c r="D52" s="4" t="n">
        <x:f>Matchschema!D47</x:f>
        <x:v>46196.916666666664</x:v>
      </x:c>
      <x:c r="E52" s="3" t="str">
        <x:f>Matchschema!E47</x:f>
        <x:v>22:00</x:v>
      </x:c>
      <x:c r="F52" s="3" t="str">
        <x:f>Matchschema!H47</x:f>
        <x:v>England</x:v>
      </x:c>
      <x:c r="G52" s="3" t="str">
        <x:f>Matchschema!I47</x:f>
        <x:v>Ghana</x:v>
      </x:c>
      <x:c r="H52" s="3" t="str">
        <x:f>Matchschema!J47</x:f>
        <x:v>Gillette Stadium, Foxborough</x:v>
      </x:c>
      <x:c r="I52" s="5"/>
      <x:c r="J52" s="5"/>
      <x:c r="K52" s="6" t="str">
        <x:f t="shared" si="1"/>
      </x:c>
      <x:c r="L52" s="8" t="str">
        <x:f>IF(Matchschema!$K47="","",IF(AND(I52=Matchschema!$K47,J52=Matchschema!$L47),Regler!$B$4,IF(K52=Matchschema!$M47,Regler!$B$5,0)))</x:f>
      </x:c>
      <x:c r="M52" s="3"/>
    </x:row>
    <x:row r="53" ht="15">
      <x:c r="A53" s="3" t="n">
        <x:f>Matchschema!A48</x:f>
        <x:v>47</x:v>
      </x:c>
      <x:c r="B53" s="3" t="str">
        <x:f>Matchschema!B48</x:f>
        <x:v>Gruppspel</x:v>
      </x:c>
      <x:c r="C53" s="3" t="str">
        <x:f>Matchschema!C48</x:f>
        <x:v>L</x:v>
      </x:c>
      <x:c r="D53" s="4" t="n">
        <x:f>Matchschema!D48</x:f>
        <x:v>46197.041666666664</x:v>
      </x:c>
      <x:c r="E53" s="3" t="str">
        <x:f>Matchschema!E48</x:f>
        <x:v>01:00</x:v>
      </x:c>
      <x:c r="F53" s="3" t="str">
        <x:f>Matchschema!H48</x:f>
        <x:v>Panama</x:v>
      </x:c>
      <x:c r="G53" s="3" t="str">
        <x:f>Matchschema!I48</x:f>
        <x:v>Croatia</x:v>
      </x:c>
      <x:c r="H53" s="3" t="str">
        <x:f>Matchschema!J48</x:f>
        <x:v>BMO Field, Toronto</x:v>
      </x:c>
      <x:c r="I53" s="5"/>
      <x:c r="J53" s="5"/>
      <x:c r="K53" s="6" t="str">
        <x:f t="shared" si="1"/>
      </x:c>
      <x:c r="L53" s="8" t="str">
        <x:f>IF(Matchschema!$K48="","",IF(AND(I53=Matchschema!$K48,J53=Matchschema!$L48),Regler!$B$4,IF(K53=Matchschema!$M48,Regler!$B$5,0)))</x:f>
      </x:c>
      <x:c r="M53" s="3"/>
    </x:row>
    <x:row r="54" ht="15">
      <x:c r="A54" s="3" t="n">
        <x:f>Matchschema!A49</x:f>
        <x:v>48</x:v>
      </x:c>
      <x:c r="B54" s="3" t="str">
        <x:f>Matchschema!B49</x:f>
        <x:v>Gruppspel</x:v>
      </x:c>
      <x:c r="C54" s="3" t="str">
        <x:f>Matchschema!C49</x:f>
        <x:v>K</x:v>
      </x:c>
      <x:c r="D54" s="4" t="n">
        <x:f>Matchschema!D49</x:f>
        <x:v>46197.166666666664</x:v>
      </x:c>
      <x:c r="E54" s="3" t="str">
        <x:f>Matchschema!E49</x:f>
        <x:v>04:00</x:v>
      </x:c>
      <x:c r="F54" s="3" t="str">
        <x:f>Matchschema!H49</x:f>
        <x:v>Colombia</x:v>
      </x:c>
      <x:c r="G54" s="3" t="str">
        <x:f>Matchschema!I49</x:f>
        <x:v>DR Congo</x:v>
      </x:c>
      <x:c r="H54" s="3" t="str">
        <x:f>Matchschema!J49</x:f>
        <x:v>Estadio Akron, Zapopan</x:v>
      </x:c>
      <x:c r="I54" s="5"/>
      <x:c r="J54" s="5"/>
      <x:c r="K54" s="6" t="str">
        <x:f t="shared" si="1"/>
      </x:c>
      <x:c r="L54" s="8" t="str">
        <x:f>IF(Matchschema!$K49="","",IF(AND(I54=Matchschema!$K49,J54=Matchschema!$L49),Regler!$B$4,IF(K54=Matchschema!$M49,Regler!$B$5,0)))</x:f>
      </x:c>
      <x:c r="M54" s="3"/>
    </x:row>
    <x:row r="55" ht="15">
      <x:c r="A55" s="3" t="n">
        <x:f>Matchschema!A50</x:f>
        <x:v>49</x:v>
      </x:c>
      <x:c r="B55" s="3" t="str">
        <x:f>Matchschema!B50</x:f>
        <x:v>Gruppspel</x:v>
      </x:c>
      <x:c r="C55" s="3" t="str">
        <x:f>Matchschema!C50</x:f>
        <x:v>B</x:v>
      </x:c>
      <x:c r="D55" s="4" t="n">
        <x:f>Matchschema!D50</x:f>
        <x:v>46197.875</x:v>
      </x:c>
      <x:c r="E55" s="3" t="str">
        <x:f>Matchschema!E50</x:f>
        <x:v>21:00</x:v>
      </x:c>
      <x:c r="F55" s="3" t="str">
        <x:f>Matchschema!H50</x:f>
        <x:v>Switzerland</x:v>
      </x:c>
      <x:c r="G55" s="3" t="str">
        <x:f>Matchschema!I50</x:f>
        <x:v>Canada</x:v>
      </x:c>
      <x:c r="H55" s="3" t="str">
        <x:f>Matchschema!J50</x:f>
        <x:v>BC Place, Vancouver</x:v>
      </x:c>
      <x:c r="I55" s="5"/>
      <x:c r="J55" s="5"/>
      <x:c r="K55" s="6" t="str">
        <x:f t="shared" si="1"/>
      </x:c>
      <x:c r="L55" s="8" t="str">
        <x:f>IF(Matchschema!$K50="","",IF(AND(I55=Matchschema!$K50,J55=Matchschema!$L50),Regler!$B$4,IF(K55=Matchschema!$M50,Regler!$B$5,0)))</x:f>
      </x:c>
      <x:c r="M55" s="3"/>
    </x:row>
    <x:row r="56" ht="15">
      <x:c r="A56" s="3" t="n">
        <x:f>Matchschema!A51</x:f>
        <x:v>50</x:v>
      </x:c>
      <x:c r="B56" s="3" t="str">
        <x:f>Matchschema!B51</x:f>
        <x:v>Gruppspel</x:v>
      </x:c>
      <x:c r="C56" s="3" t="str">
        <x:f>Matchschema!C51</x:f>
        <x:v>B</x:v>
      </x:c>
      <x:c r="D56" s="4" t="n">
        <x:f>Matchschema!D51</x:f>
        <x:v>46197.875</x:v>
      </x:c>
      <x:c r="E56" s="3" t="str">
        <x:f>Matchschema!E51</x:f>
        <x:v>21:00</x:v>
      </x:c>
      <x:c r="F56" s="3" t="str">
        <x:f>Matchschema!H51</x:f>
        <x:v>Bosnia &amp; Herzegovina</x:v>
      </x:c>
      <x:c r="G56" s="3" t="str">
        <x:f>Matchschema!I51</x:f>
        <x:v>Qatar</x:v>
      </x:c>
      <x:c r="H56" s="3" t="str">
        <x:f>Matchschema!J51</x:f>
        <x:v>Lumen Field, Seattle</x:v>
      </x:c>
      <x:c r="I56" s="5"/>
      <x:c r="J56" s="5"/>
      <x:c r="K56" s="6" t="str">
        <x:f t="shared" si="1"/>
      </x:c>
      <x:c r="L56" s="8" t="str">
        <x:f>IF(Matchschema!$K51="","",IF(AND(I56=Matchschema!$K51,J56=Matchschema!$L51),Regler!$B$4,IF(K56=Matchschema!$M51,Regler!$B$5,0)))</x:f>
      </x:c>
      <x:c r="M56" s="3"/>
    </x:row>
    <x:row r="57" ht="15">
      <x:c r="A57" s="3" t="n">
        <x:f>Matchschema!A52</x:f>
        <x:v>51</x:v>
      </x:c>
      <x:c r="B57" s="3" t="str">
        <x:f>Matchschema!B52</x:f>
        <x:v>Gruppspel</x:v>
      </x:c>
      <x:c r="C57" s="3" t="str">
        <x:f>Matchschema!C52</x:f>
        <x:v>C</x:v>
      </x:c>
      <x:c r="D57" s="4" t="n">
        <x:f>Matchschema!D52</x:f>
        <x:v>46198</x:v>
      </x:c>
      <x:c r="E57" s="3" t="str">
        <x:f>Matchschema!E52</x:f>
        <x:v>00:00</x:v>
      </x:c>
      <x:c r="F57" s="3" t="str">
        <x:f>Matchschema!H52</x:f>
        <x:v>Morocco</x:v>
      </x:c>
      <x:c r="G57" s="3" t="str">
        <x:f>Matchschema!I52</x:f>
        <x:v>Haiti</x:v>
      </x:c>
      <x:c r="H57" s="3" t="str">
        <x:f>Matchschema!J52</x:f>
        <x:v>Mercedes-Benz Stadium, Atlanta</x:v>
      </x:c>
      <x:c r="I57" s="5"/>
      <x:c r="J57" s="5"/>
      <x:c r="K57" s="6">
        <x:f t="shared" si="1"/>
      </x:c>
      <x:c r="L57" s="8" t="str">
        <x:f>IF(Matchschema!$K52="","",IF(AND(I57=Matchschema!$K52,J57=Matchschema!$L52),Regler!$B$4,IF(K57=Matchschema!$M52,Regler!$B$5,0)))</x:f>
      </x:c>
      <x:c r="M57" s="3"/>
    </x:row>
    <x:row r="58" ht="15">
      <x:c r="A58" s="3" t="n">
        <x:f>Matchschema!A53</x:f>
        <x:v>52</x:v>
      </x:c>
      <x:c r="B58" s="3" t="str">
        <x:f>Matchschema!B53</x:f>
        <x:v>Gruppspel</x:v>
      </x:c>
      <x:c r="C58" s="3" t="str">
        <x:f>Matchschema!C53</x:f>
        <x:v>C</x:v>
      </x:c>
      <x:c r="D58" s="4" t="n">
        <x:f>Matchschema!D53</x:f>
        <x:v>46198</x:v>
      </x:c>
      <x:c r="E58" s="3" t="str">
        <x:f>Matchschema!E53</x:f>
        <x:v>00:00</x:v>
      </x:c>
      <x:c r="F58" s="3" t="str">
        <x:f>Matchschema!H53</x:f>
        <x:v>Scotland</x:v>
      </x:c>
      <x:c r="G58" s="3" t="str">
        <x:f>Matchschema!I53</x:f>
        <x:v>Brazil</x:v>
      </x:c>
      <x:c r="H58" s="3" t="str">
        <x:f>Matchschema!J53</x:f>
        <x:v>Hard Rock Stadium, Miami Gardens</x:v>
      </x:c>
      <x:c r="I58" s="5"/>
      <x:c r="J58" s="5"/>
      <x:c r="K58" s="6">
        <x:f t="shared" si="1"/>
      </x:c>
      <x:c r="L58" s="8" t="str">
        <x:f>IF(Matchschema!$K53="","",IF(AND(I58=Matchschema!$K53,J58=Matchschema!$L53),Regler!$B$4,IF(K58=Matchschema!$M53,Regler!$B$5,0)))</x:f>
      </x:c>
      <x:c r="M58" s="3"/>
    </x:row>
    <x:row r="59" ht="15">
      <x:c r="A59" s="3" t="n">
        <x:f>Matchschema!A54</x:f>
        <x:v>53</x:v>
      </x:c>
      <x:c r="B59" s="3" t="str">
        <x:f>Matchschema!B54</x:f>
        <x:v>Gruppspel</x:v>
      </x:c>
      <x:c r="C59" s="3" t="str">
        <x:f>Matchschema!C54</x:f>
        <x:v>A</x:v>
      </x:c>
      <x:c r="D59" s="4" t="n">
        <x:f>Matchschema!D54</x:f>
        <x:v>46198.125</x:v>
      </x:c>
      <x:c r="E59" s="3" t="str">
        <x:f>Matchschema!E54</x:f>
        <x:v>03:00</x:v>
      </x:c>
      <x:c r="F59" s="3" t="str">
        <x:f>Matchschema!H54</x:f>
        <x:v>Czechia</x:v>
      </x:c>
      <x:c r="G59" s="3" t="str">
        <x:f>Matchschema!I54</x:f>
        <x:v>Mexico</x:v>
      </x:c>
      <x:c r="H59" s="3" t="str">
        <x:f>Matchschema!J54</x:f>
        <x:v>Estadio Azteca, Mexico City</x:v>
      </x:c>
      <x:c r="I59" s="5"/>
      <x:c r="J59" s="5"/>
      <x:c r="K59" s="6" t="str">
        <x:f t="shared" si="1"/>
      </x:c>
      <x:c r="L59" s="8" t="str">
        <x:f>IF(Matchschema!$K54="","",IF(AND(I59=Matchschema!$K54,J59=Matchschema!$L54),Regler!$B$4,IF(K59=Matchschema!$M54,Regler!$B$5,0)))</x:f>
      </x:c>
      <x:c r="M59" s="3"/>
    </x:row>
    <x:row r="60" ht="15">
      <x:c r="A60" s="3" t="n">
        <x:f>Matchschema!A55</x:f>
        <x:v>54</x:v>
      </x:c>
      <x:c r="B60" s="3" t="str">
        <x:f>Matchschema!B55</x:f>
        <x:v>Gruppspel</x:v>
      </x:c>
      <x:c r="C60" s="3" t="str">
        <x:f>Matchschema!C55</x:f>
        <x:v>A</x:v>
      </x:c>
      <x:c r="D60" s="4" t="n">
        <x:f>Matchschema!D55</x:f>
        <x:v>46198.125</x:v>
      </x:c>
      <x:c r="E60" s="3" t="str">
        <x:f>Matchschema!E55</x:f>
        <x:v>03:00</x:v>
      </x:c>
      <x:c r="F60" s="3" t="str">
        <x:f>Matchschema!H55</x:f>
        <x:v>South Africa</x:v>
      </x:c>
      <x:c r="G60" s="3" t="str">
        <x:f>Matchschema!I55</x:f>
        <x:v>South Korea</x:v>
      </x:c>
      <x:c r="H60" s="3" t="str">
        <x:f>Matchschema!J55</x:f>
        <x:v>Estadio BBVA, Monterrey</x:v>
      </x:c>
      <x:c r="I60" s="5"/>
      <x:c r="J60" s="5"/>
      <x:c r="K60" s="6" t="str">
        <x:f t="shared" si="1"/>
      </x:c>
      <x:c r="L60" s="8" t="str">
        <x:f>IF(Matchschema!$K55="","",IF(AND(I60=Matchschema!$K55,J60=Matchschema!$L55),Regler!$B$4,IF(K60=Matchschema!$M55,Regler!$B$5,0)))</x:f>
      </x:c>
      <x:c r="M60" s="3"/>
    </x:row>
    <x:row r="61" ht="15">
      <x:c r="A61" s="3" t="n">
        <x:f>Matchschema!A56</x:f>
        <x:v>55</x:v>
      </x:c>
      <x:c r="B61" s="3" t="str">
        <x:f>Matchschema!B56</x:f>
        <x:v>Gruppspel</x:v>
      </x:c>
      <x:c r="C61" s="3" t="str">
        <x:f>Matchschema!C56</x:f>
        <x:v>E</x:v>
      </x:c>
      <x:c r="D61" s="4" t="n">
        <x:f>Matchschema!D56</x:f>
        <x:v>46198.916666666664</x:v>
      </x:c>
      <x:c r="E61" s="3" t="str">
        <x:f>Matchschema!E56</x:f>
        <x:v>22:00</x:v>
      </x:c>
      <x:c r="F61" s="3" t="str">
        <x:f>Matchschema!H56</x:f>
        <x:v>Curaçao</x:v>
      </x:c>
      <x:c r="G61" s="3" t="str">
        <x:f>Matchschema!I56</x:f>
        <x:v>Ivory Coast</x:v>
      </x:c>
      <x:c r="H61" s="3" t="str">
        <x:f>Matchschema!J56</x:f>
        <x:v>Lincoln Financial Field, Philadelphia</x:v>
      </x:c>
      <x:c r="I61" s="5"/>
      <x:c r="J61" s="5"/>
      <x:c r="K61" s="6" t="str">
        <x:f t="shared" si="1"/>
      </x:c>
      <x:c r="L61" s="8" t="str">
        <x:f>IF(Matchschema!$K56="","",IF(AND(I61=Matchschema!$K56,J61=Matchschema!$L56),Regler!$B$4,IF(K61=Matchschema!$M56,Regler!$B$5,0)))</x:f>
      </x:c>
      <x:c r="M61" s="3"/>
    </x:row>
    <x:row r="62" ht="15">
      <x:c r="A62" s="3" t="n">
        <x:f>Matchschema!A57</x:f>
        <x:v>56</x:v>
      </x:c>
      <x:c r="B62" s="3" t="str">
        <x:f>Matchschema!B57</x:f>
        <x:v>Gruppspel</x:v>
      </x:c>
      <x:c r="C62" s="3" t="str">
        <x:f>Matchschema!C57</x:f>
        <x:v>E</x:v>
      </x:c>
      <x:c r="D62" s="4" t="n">
        <x:f>Matchschema!D57</x:f>
        <x:v>46198.916666666664</x:v>
      </x:c>
      <x:c r="E62" s="3" t="str">
        <x:f>Matchschema!E57</x:f>
        <x:v>22:00</x:v>
      </x:c>
      <x:c r="F62" s="3" t="str">
        <x:f>Matchschema!H57</x:f>
        <x:v>Ecuador</x:v>
      </x:c>
      <x:c r="G62" s="3" t="str">
        <x:f>Matchschema!I57</x:f>
        <x:v>Germany</x:v>
      </x:c>
      <x:c r="H62" s="3" t="str">
        <x:f>Matchschema!J57</x:f>
        <x:v>MetLife Stadium, East Rutherford</x:v>
      </x:c>
      <x:c r="I62" s="5"/>
      <x:c r="J62" s="5"/>
      <x:c r="K62" s="6" t="str">
        <x:f t="shared" si="1"/>
      </x:c>
      <x:c r="L62" s="8" t="str">
        <x:f>IF(Matchschema!$K57="","",IF(AND(I62=Matchschema!$K57,J62=Matchschema!$L57),Regler!$B$4,IF(K62=Matchschema!$M57,Regler!$B$5,0)))</x:f>
      </x:c>
      <x:c r="M62" s="3"/>
    </x:row>
    <x:row r="63" ht="15">
      <x:c r="A63" s="3" t="n">
        <x:f>Matchschema!A58</x:f>
        <x:v>57</x:v>
      </x:c>
      <x:c r="B63" s="3" t="str">
        <x:f>Matchschema!B58</x:f>
        <x:v>Gruppspel</x:v>
      </x:c>
      <x:c r="C63" s="3" t="str">
        <x:f>Matchschema!C58</x:f>
        <x:v>F</x:v>
      </x:c>
      <x:c r="D63" s="4" t="n">
        <x:f>Matchschema!D58</x:f>
        <x:v>46199.041666666664</x:v>
      </x:c>
      <x:c r="E63" s="3" t="str">
        <x:f>Matchschema!E58</x:f>
        <x:v>01:00</x:v>
      </x:c>
      <x:c r="F63" s="3" t="str">
        <x:f>Matchschema!H58</x:f>
        <x:v>Japan</x:v>
      </x:c>
      <x:c r="G63" s="3" t="str">
        <x:f>Matchschema!I58</x:f>
        <x:v>Sweden</x:v>
      </x:c>
      <x:c r="H63" s="3" t="str">
        <x:f>Matchschema!J58</x:f>
        <x:v>AT&amp;T Stadium, Arlington</x:v>
      </x:c>
      <x:c r="I63" s="5"/>
      <x:c r="J63" s="5"/>
      <x:c r="K63" s="6" t="str">
        <x:f t="shared" si="1"/>
      </x:c>
      <x:c r="L63" s="8" t="str">
        <x:f>IF(Matchschema!$K58="","",IF(AND(I63=Matchschema!$K58,J63=Matchschema!$L58),Regler!$B$4,IF(K63=Matchschema!$M58,Regler!$B$5,0)))</x:f>
      </x:c>
      <x:c r="M63" s="3"/>
    </x:row>
    <x:row r="64" ht="15">
      <x:c r="A64" s="3" t="n">
        <x:f>Matchschema!A59</x:f>
        <x:v>58</x:v>
      </x:c>
      <x:c r="B64" s="3" t="str">
        <x:f>Matchschema!B59</x:f>
        <x:v>Gruppspel</x:v>
      </x:c>
      <x:c r="C64" s="3" t="str">
        <x:f>Matchschema!C59</x:f>
        <x:v>F</x:v>
      </x:c>
      <x:c r="D64" s="4" t="n">
        <x:f>Matchschema!D59</x:f>
        <x:v>46199.041666666664</x:v>
      </x:c>
      <x:c r="E64" s="3" t="str">
        <x:f>Matchschema!E59</x:f>
        <x:v>01:00</x:v>
      </x:c>
      <x:c r="F64" s="3" t="str">
        <x:f>Matchschema!H59</x:f>
        <x:v>Tunisia</x:v>
      </x:c>
      <x:c r="G64" s="3" t="str">
        <x:f>Matchschema!I59</x:f>
        <x:v>Netherlands</x:v>
      </x:c>
      <x:c r="H64" s="3" t="str">
        <x:f>Matchschema!J59</x:f>
        <x:v>Arrowhead Stadium, Kansas City</x:v>
      </x:c>
      <x:c r="I64" s="5"/>
      <x:c r="J64" s="5"/>
      <x:c r="K64" s="6" t="str">
        <x:f t="shared" si="1"/>
      </x:c>
      <x:c r="L64" s="8" t="str">
        <x:f>IF(Matchschema!$K59="","",IF(AND(I64=Matchschema!$K59,J64=Matchschema!$L59),Regler!$B$4,IF(K64=Matchschema!$M59,Regler!$B$5,0)))</x:f>
      </x:c>
      <x:c r="M64" s="3"/>
    </x:row>
    <x:row r="65" ht="15">
      <x:c r="A65" s="3" t="n">
        <x:f>Matchschema!A60</x:f>
        <x:v>59</x:v>
      </x:c>
      <x:c r="B65" s="3" t="str">
        <x:f>Matchschema!B60</x:f>
        <x:v>Gruppspel</x:v>
      </x:c>
      <x:c r="C65" s="3" t="str">
        <x:f>Matchschema!C60</x:f>
        <x:v>D</x:v>
      </x:c>
      <x:c r="D65" s="4" t="n">
        <x:f>Matchschema!D60</x:f>
        <x:v>46199.166666666664</x:v>
      </x:c>
      <x:c r="E65" s="3" t="str">
        <x:f>Matchschema!E60</x:f>
        <x:v>04:00</x:v>
      </x:c>
      <x:c r="F65" s="3" t="str">
        <x:f>Matchschema!H60</x:f>
        <x:v>Türkiye</x:v>
      </x:c>
      <x:c r="G65" s="3" t="str">
        <x:f>Matchschema!I60</x:f>
        <x:v>USA</x:v>
      </x:c>
      <x:c r="H65" s="3" t="str">
        <x:f>Matchschema!J60</x:f>
        <x:v>SoFi Stadium, Inglewood</x:v>
      </x:c>
      <x:c r="I65" s="5"/>
      <x:c r="J65" s="5"/>
      <x:c r="K65" s="6" t="str">
        <x:f t="shared" si="1"/>
      </x:c>
      <x:c r="L65" s="8" t="str">
        <x:f>IF(Matchschema!$K60="","",IF(AND(I65=Matchschema!$K60,J65=Matchschema!$L60),Regler!$B$4,IF(K65=Matchschema!$M60,Regler!$B$5,0)))</x:f>
      </x:c>
      <x:c r="M65" s="3"/>
    </x:row>
    <x:row r="66" ht="15">
      <x:c r="A66" s="3" t="n">
        <x:f>Matchschema!A61</x:f>
        <x:v>60</x:v>
      </x:c>
      <x:c r="B66" s="3" t="str">
        <x:f>Matchschema!B61</x:f>
        <x:v>Gruppspel</x:v>
      </x:c>
      <x:c r="C66" s="3" t="str">
        <x:f>Matchschema!C61</x:f>
        <x:v>D</x:v>
      </x:c>
      <x:c r="D66" s="4" t="n">
        <x:f>Matchschema!D61</x:f>
        <x:v>46199.166666666664</x:v>
      </x:c>
      <x:c r="E66" s="3" t="str">
        <x:f>Matchschema!E61</x:f>
        <x:v>04:00</x:v>
      </x:c>
      <x:c r="F66" s="3" t="str">
        <x:f>Matchschema!H61</x:f>
        <x:v>Paraguay</x:v>
      </x:c>
      <x:c r="G66" s="3" t="str">
        <x:f>Matchschema!I61</x:f>
        <x:v>Australia</x:v>
      </x:c>
      <x:c r="H66" s="3" t="str">
        <x:f>Matchschema!J61</x:f>
        <x:v>Levi’s Stadium, Santa Clara</x:v>
      </x:c>
      <x:c r="I66" s="5"/>
      <x:c r="J66" s="5"/>
      <x:c r="K66" s="6" t="str">
        <x:f t="shared" si="1"/>
      </x:c>
      <x:c r="L66" s="8" t="str">
        <x:f>IF(Matchschema!$K61="","",IF(AND(I66=Matchschema!$K61,J66=Matchschema!$L61),Regler!$B$4,IF(K66=Matchschema!$M61,Regler!$B$5,0)))</x:f>
      </x:c>
      <x:c r="M66" s="3"/>
    </x:row>
    <x:row r="67" ht="15">
      <x:c r="A67" s="3" t="n">
        <x:f>Matchschema!A62</x:f>
        <x:v>61</x:v>
      </x:c>
      <x:c r="B67" s="3" t="str">
        <x:f>Matchschema!B62</x:f>
        <x:v>Gruppspel</x:v>
      </x:c>
      <x:c r="C67" s="3" t="str">
        <x:f>Matchschema!C62</x:f>
        <x:v>I</x:v>
      </x:c>
      <x:c r="D67" s="4" t="n">
        <x:f>Matchschema!D62</x:f>
        <x:v>46199.875</x:v>
      </x:c>
      <x:c r="E67" s="3" t="str">
        <x:f>Matchschema!E62</x:f>
        <x:v>21:00</x:v>
      </x:c>
      <x:c r="F67" s="3" t="str">
        <x:f>Matchschema!H62</x:f>
        <x:v>Norway</x:v>
      </x:c>
      <x:c r="G67" s="3" t="str">
        <x:f>Matchschema!I62</x:f>
        <x:v>France</x:v>
      </x:c>
      <x:c r="H67" s="3" t="str">
        <x:f>Matchschema!J62</x:f>
        <x:v>Gillette Stadium, Foxborough</x:v>
      </x:c>
      <x:c r="I67" s="5"/>
      <x:c r="J67" s="5"/>
      <x:c r="K67" s="6" t="str">
        <x:f t="shared" si="1"/>
      </x:c>
      <x:c r="L67" s="8" t="str">
        <x:f>IF(Matchschema!$K62="","",IF(AND(I67=Matchschema!$K62,J67=Matchschema!$L62),Regler!$B$4,IF(K67=Matchschema!$M62,Regler!$B$5,0)))</x:f>
      </x:c>
      <x:c r="M67" s="3"/>
    </x:row>
    <x:row r="68" ht="15">
      <x:c r="A68" s="3" t="n">
        <x:f>Matchschema!A63</x:f>
        <x:v>62</x:v>
      </x:c>
      <x:c r="B68" s="3" t="str">
        <x:f>Matchschema!B63</x:f>
        <x:v>Gruppspel</x:v>
      </x:c>
      <x:c r="C68" s="3" t="str">
        <x:f>Matchschema!C63</x:f>
        <x:v>I</x:v>
      </x:c>
      <x:c r="D68" s="4" t="n">
        <x:f>Matchschema!D63</x:f>
        <x:v>46199.875</x:v>
      </x:c>
      <x:c r="E68" s="3" t="str">
        <x:f>Matchschema!E63</x:f>
        <x:v>21:00</x:v>
      </x:c>
      <x:c r="F68" s="3" t="str">
        <x:f>Matchschema!H63</x:f>
        <x:v>Senegal</x:v>
      </x:c>
      <x:c r="G68" s="3" t="str">
        <x:f>Matchschema!I63</x:f>
        <x:v>Iraq</x:v>
      </x:c>
      <x:c r="H68" s="3" t="str">
        <x:f>Matchschema!J63</x:f>
        <x:v>BMO Field, Toronto</x:v>
      </x:c>
      <x:c r="I68" s="5"/>
      <x:c r="J68" s="5"/>
      <x:c r="K68" s="6" t="str">
        <x:f t="shared" si="1"/>
      </x:c>
      <x:c r="L68" s="8" t="str">
        <x:f>IF(Matchschema!$K63="","",IF(AND(I68=Matchschema!$K63,J68=Matchschema!$L63),Regler!$B$4,IF(K68=Matchschema!$M63,Regler!$B$5,0)))</x:f>
      </x:c>
      <x:c r="M68" s="3"/>
    </x:row>
    <x:row r="69" ht="15">
      <x:c r="A69" s="3" t="n">
        <x:f>Matchschema!A64</x:f>
        <x:v>63</x:v>
      </x:c>
      <x:c r="B69" s="3" t="str">
        <x:f>Matchschema!B64</x:f>
        <x:v>Gruppspel</x:v>
      </x:c>
      <x:c r="C69" s="3" t="str">
        <x:f>Matchschema!C64</x:f>
        <x:v>H</x:v>
      </x:c>
      <x:c r="D69" s="4" t="n">
        <x:f>Matchschema!D64</x:f>
        <x:v>46200.083333333336</x:v>
      </x:c>
      <x:c r="E69" s="3" t="str">
        <x:f>Matchschema!E64</x:f>
        <x:v>02:00</x:v>
      </x:c>
      <x:c r="F69" s="3" t="str">
        <x:f>Matchschema!H64</x:f>
        <x:v>Cape Verde</x:v>
      </x:c>
      <x:c r="G69" s="3" t="str">
        <x:f>Matchschema!I64</x:f>
        <x:v>Saudi Arabia</x:v>
      </x:c>
      <x:c r="H69" s="3" t="str">
        <x:f>Matchschema!J64</x:f>
        <x:v>NRG Stadium, Houston</x:v>
      </x:c>
      <x:c r="I69" s="5"/>
      <x:c r="J69" s="5"/>
      <x:c r="K69" s="6" t="str">
        <x:f t="shared" si="1"/>
      </x:c>
      <x:c r="L69" s="8" t="str">
        <x:f>IF(Matchschema!$K64="","",IF(AND(I69=Matchschema!$K64,J69=Matchschema!$L64),Regler!$B$4,IF(K69=Matchschema!$M64,Regler!$B$5,0)))</x:f>
      </x:c>
      <x:c r="M69" s="3"/>
    </x:row>
    <x:row r="70" ht="15">
      <x:c r="A70" s="3" t="n">
        <x:f>Matchschema!A65</x:f>
        <x:v>64</x:v>
      </x:c>
      <x:c r="B70" s="3" t="str">
        <x:f>Matchschema!B65</x:f>
        <x:v>Gruppspel</x:v>
      </x:c>
      <x:c r="C70" s="3" t="str">
        <x:f>Matchschema!C65</x:f>
        <x:v>H</x:v>
      </x:c>
      <x:c r="D70" s="4" t="n">
        <x:f>Matchschema!D65</x:f>
        <x:v>46200.083333333336</x:v>
      </x:c>
      <x:c r="E70" s="3" t="str">
        <x:f>Matchschema!E65</x:f>
        <x:v>02:00</x:v>
      </x:c>
      <x:c r="F70" s="3" t="str">
        <x:f>Matchschema!H65</x:f>
        <x:v>Uruguay</x:v>
      </x:c>
      <x:c r="G70" s="3" t="str">
        <x:f>Matchschema!I65</x:f>
        <x:v>Spain</x:v>
      </x:c>
      <x:c r="H70" s="3" t="str">
        <x:f>Matchschema!J65</x:f>
        <x:v>Estadio Akron, Zapopan</x:v>
      </x:c>
      <x:c r="I70" s="5"/>
      <x:c r="J70" s="5"/>
      <x:c r="K70" s="6" t="str">
        <x:f t="shared" si="1"/>
      </x:c>
      <x:c r="L70" s="8" t="str">
        <x:f>IF(Matchschema!$K65="","",IF(AND(I70=Matchschema!$K65,J70=Matchschema!$L65),Regler!$B$4,IF(K70=Matchschema!$M65,Regler!$B$5,0)))</x:f>
      </x:c>
      <x:c r="M70" s="3"/>
    </x:row>
    <x:row r="71" ht="15">
      <x:c r="A71" s="3" t="n">
        <x:f>Matchschema!A66</x:f>
        <x:v>65</x:v>
      </x:c>
      <x:c r="B71" s="3" t="str">
        <x:f>Matchschema!B66</x:f>
        <x:v>Gruppspel</x:v>
      </x:c>
      <x:c r="C71" s="3" t="str">
        <x:f>Matchschema!C66</x:f>
        <x:v>G</x:v>
      </x:c>
      <x:c r="D71" s="4" t="n">
        <x:f>Matchschema!D66</x:f>
        <x:v>46200.208333333336</x:v>
      </x:c>
      <x:c r="E71" s="3" t="str">
        <x:f>Matchschema!E66</x:f>
        <x:v>05:00</x:v>
      </x:c>
      <x:c r="F71" s="3" t="str">
        <x:f>Matchschema!H66</x:f>
        <x:v>Egypt</x:v>
      </x:c>
      <x:c r="G71" s="3" t="str">
        <x:f>Matchschema!I66</x:f>
        <x:v>Iran</x:v>
      </x:c>
      <x:c r="H71" s="3" t="str">
        <x:f>Matchschema!J66</x:f>
        <x:v>Lumen Field, Seattle</x:v>
      </x:c>
      <x:c r="I71" s="5"/>
      <x:c r="J71" s="5"/>
      <x:c r="K71" s="6" t="str">
        <x:f t="shared" ref="K71:K102" si="2">IF(OR(I71="",J71=""),"",IF(I71&gt;J71,"1",IF(I71=J71,"X","2")))</x:f>
      </x:c>
      <x:c r="L71" s="8" t="str">
        <x:f>IF(Matchschema!$K66="","",IF(AND(I71=Matchschema!$K66,J71=Matchschema!$L66),Regler!$B$4,IF(K71=Matchschema!$M66,Regler!$B$5,0)))</x:f>
      </x:c>
      <x:c r="M71" s="3"/>
    </x:row>
    <x:row r="72" ht="15">
      <x:c r="A72" s="3" t="n">
        <x:f>Matchschema!A67</x:f>
        <x:v>66</x:v>
      </x:c>
      <x:c r="B72" s="3" t="str">
        <x:f>Matchschema!B67</x:f>
        <x:v>Gruppspel</x:v>
      </x:c>
      <x:c r="C72" s="3" t="str">
        <x:f>Matchschema!C67</x:f>
        <x:v>G</x:v>
      </x:c>
      <x:c r="D72" s="4" t="n">
        <x:f>Matchschema!D67</x:f>
        <x:v>46200.208333333336</x:v>
      </x:c>
      <x:c r="E72" s="3" t="str">
        <x:f>Matchschema!E67</x:f>
        <x:v>05:00</x:v>
      </x:c>
      <x:c r="F72" s="3" t="str">
        <x:f>Matchschema!H67</x:f>
        <x:v>New Zealand</x:v>
      </x:c>
      <x:c r="G72" s="3" t="str">
        <x:f>Matchschema!I67</x:f>
        <x:v>Belgium</x:v>
      </x:c>
      <x:c r="H72" s="3" t="str">
        <x:f>Matchschema!J67</x:f>
        <x:v>BC Place, Vancouver</x:v>
      </x:c>
      <x:c r="I72" s="5"/>
      <x:c r="J72" s="5"/>
      <x:c r="K72" s="6" t="str">
        <x:f t="shared" si="2"/>
      </x:c>
      <x:c r="L72" s="8" t="str">
        <x:f>IF(Matchschema!$K67="","",IF(AND(I72=Matchschema!$K67,J72=Matchschema!$L67),Regler!$B$4,IF(K72=Matchschema!$M67,Regler!$B$5,0)))</x:f>
      </x:c>
      <x:c r="M72" s="3"/>
    </x:row>
    <x:row r="73" ht="15">
      <x:c r="A73" s="3" t="n">
        <x:f>Matchschema!A68</x:f>
        <x:v>67</x:v>
      </x:c>
      <x:c r="B73" s="3" t="str">
        <x:f>Matchschema!B68</x:f>
        <x:v>Gruppspel</x:v>
      </x:c>
      <x:c r="C73" s="3" t="str">
        <x:f>Matchschema!C68</x:f>
        <x:v>L</x:v>
      </x:c>
      <x:c r="D73" s="4" t="n">
        <x:f>Matchschema!D68</x:f>
        <x:v>46200.958333333336</x:v>
      </x:c>
      <x:c r="E73" s="3" t="str">
        <x:f>Matchschema!E68</x:f>
        <x:v>23:00</x:v>
      </x:c>
      <x:c r="F73" s="3" t="str">
        <x:f>Matchschema!H68</x:f>
        <x:v>Panama</x:v>
      </x:c>
      <x:c r="G73" s="3" t="str">
        <x:f>Matchschema!I68</x:f>
        <x:v>England</x:v>
      </x:c>
      <x:c r="H73" s="3" t="str">
        <x:f>Matchschema!J68</x:f>
        <x:v>MetLife Stadium, East Rutherford</x:v>
      </x:c>
      <x:c r="I73" s="5"/>
      <x:c r="J73" s="5"/>
      <x:c r="K73" s="6" t="str">
        <x:f t="shared" si="2"/>
      </x:c>
      <x:c r="L73" s="8" t="str">
        <x:f>IF(Matchschema!$K68="","",IF(AND(I73=Matchschema!$K68,J73=Matchschema!$L68),Regler!$B$4,IF(K73=Matchschema!$M68,Regler!$B$5,0)))</x:f>
      </x:c>
      <x:c r="M73" s="3"/>
    </x:row>
    <x:row r="74" ht="15">
      <x:c r="A74" s="3" t="n">
        <x:f>Matchschema!A69</x:f>
        <x:v>68</x:v>
      </x:c>
      <x:c r="B74" s="3" t="str">
        <x:f>Matchschema!B69</x:f>
        <x:v>Gruppspel</x:v>
      </x:c>
      <x:c r="C74" s="3" t="str">
        <x:f>Matchschema!C69</x:f>
        <x:v>L</x:v>
      </x:c>
      <x:c r="D74" s="4" t="n">
        <x:f>Matchschema!D69</x:f>
        <x:v>46200.958333333336</x:v>
      </x:c>
      <x:c r="E74" s="3" t="str">
        <x:f>Matchschema!E69</x:f>
        <x:v>23:00</x:v>
      </x:c>
      <x:c r="F74" s="3" t="str">
        <x:f>Matchschema!H69</x:f>
        <x:v>Croatia</x:v>
      </x:c>
      <x:c r="G74" s="3" t="str">
        <x:f>Matchschema!I69</x:f>
        <x:v>Ghana</x:v>
      </x:c>
      <x:c r="H74" s="3" t="str">
        <x:f>Matchschema!J69</x:f>
        <x:v>Lincoln Financial Field, Philadelphia</x:v>
      </x:c>
      <x:c r="I74" s="5"/>
      <x:c r="J74" s="5"/>
      <x:c r="K74" s="6" t="str">
        <x:f t="shared" si="2"/>
      </x:c>
      <x:c r="L74" s="8" t="str">
        <x:f>IF(Matchschema!$K69="","",IF(AND(I74=Matchschema!$K69,J74=Matchschema!$L69),Regler!$B$4,IF(K74=Matchschema!$M69,Regler!$B$5,0)))</x:f>
      </x:c>
      <x:c r="M74" s="3"/>
    </x:row>
    <x:row r="75" ht="15">
      <x:c r="A75" s="3" t="n">
        <x:f>Matchschema!A70</x:f>
        <x:v>69</x:v>
      </x:c>
      <x:c r="B75" s="3" t="str">
        <x:f>Matchschema!B70</x:f>
        <x:v>Gruppspel</x:v>
      </x:c>
      <x:c r="C75" s="3" t="str">
        <x:f>Matchschema!C70</x:f>
        <x:v>K</x:v>
      </x:c>
      <x:c r="D75" s="4" t="n">
        <x:f>Matchschema!D70</x:f>
        <x:v>46201.0625</x:v>
      </x:c>
      <x:c r="E75" s="3" t="str">
        <x:f>Matchschema!E70</x:f>
        <x:v>01:30</x:v>
      </x:c>
      <x:c r="F75" s="3" t="str">
        <x:f>Matchschema!H70</x:f>
        <x:v>Colombia</x:v>
      </x:c>
      <x:c r="G75" s="3" t="str">
        <x:f>Matchschema!I70</x:f>
        <x:v>Portugal</x:v>
      </x:c>
      <x:c r="H75" s="3" t="str">
        <x:f>Matchschema!J70</x:f>
        <x:v>Hard Rock Stadium, Miami Gardens</x:v>
      </x:c>
      <x:c r="I75" s="5"/>
      <x:c r="J75" s="5"/>
      <x:c r="K75" s="6" t="str">
        <x:f t="shared" si="2"/>
      </x:c>
      <x:c r="L75" s="8" t="str">
        <x:f>IF(Matchschema!$K70="","",IF(AND(I75=Matchschema!$K70,J75=Matchschema!$L70),Regler!$B$4,IF(K75=Matchschema!$M70,Regler!$B$5,0)))</x:f>
      </x:c>
      <x:c r="M75" s="3"/>
    </x:row>
    <x:row r="76" ht="15">
      <x:c r="A76" s="3" t="n">
        <x:f>Matchschema!A71</x:f>
        <x:v>70</x:v>
      </x:c>
      <x:c r="B76" s="3" t="str">
        <x:f>Matchschema!B71</x:f>
        <x:v>Gruppspel</x:v>
      </x:c>
      <x:c r="C76" s="3" t="str">
        <x:f>Matchschema!C71</x:f>
        <x:v>K</x:v>
      </x:c>
      <x:c r="D76" s="4" t="n">
        <x:f>Matchschema!D71</x:f>
        <x:v>46201.0625</x:v>
      </x:c>
      <x:c r="E76" s="3" t="str">
        <x:f>Matchschema!E71</x:f>
        <x:v>01:30</x:v>
      </x:c>
      <x:c r="F76" s="3" t="str">
        <x:f>Matchschema!H71</x:f>
        <x:v>DR Congo</x:v>
      </x:c>
      <x:c r="G76" s="3" t="str">
        <x:f>Matchschema!I71</x:f>
        <x:v>Uzbekistan</x:v>
      </x:c>
      <x:c r="H76" s="3" t="str">
        <x:f>Matchschema!J71</x:f>
        <x:v>Mercedes-Benz Stadium, Atlanta</x:v>
      </x:c>
      <x:c r="I76" s="5"/>
      <x:c r="J76" s="5"/>
      <x:c r="K76" s="6" t="str">
        <x:f t="shared" si="2"/>
      </x:c>
      <x:c r="L76" s="8" t="str">
        <x:f>IF(Matchschema!$K71="","",IF(AND(I76=Matchschema!$K71,J76=Matchschema!$L71),Regler!$B$4,IF(K76=Matchschema!$M71,Regler!$B$5,0)))</x:f>
      </x:c>
      <x:c r="M76" s="3"/>
    </x:row>
    <x:row r="77" ht="15">
      <x:c r="A77" s="3" t="n">
        <x:f>Matchschema!A72</x:f>
        <x:v>71</x:v>
      </x:c>
      <x:c r="B77" s="3" t="str">
        <x:f>Matchschema!B72</x:f>
        <x:v>Gruppspel</x:v>
      </x:c>
      <x:c r="C77" s="3" t="str">
        <x:f>Matchschema!C72</x:f>
        <x:v>J</x:v>
      </x:c>
      <x:c r="D77" s="4" t="n">
        <x:f>Matchschema!D72</x:f>
        <x:v>46201.166666666664</x:v>
      </x:c>
      <x:c r="E77" s="3" t="str">
        <x:f>Matchschema!E72</x:f>
        <x:v>04:00</x:v>
      </x:c>
      <x:c r="F77" s="3" t="str">
        <x:f>Matchschema!H72</x:f>
        <x:v>Algeria</x:v>
      </x:c>
      <x:c r="G77" s="3" t="str">
        <x:f>Matchschema!I72</x:f>
        <x:v>Austria</x:v>
      </x:c>
      <x:c r="H77" s="3" t="str">
        <x:f>Matchschema!J72</x:f>
        <x:v>Arrowhead Stadium, Kansas City</x:v>
      </x:c>
      <x:c r="I77" s="5"/>
      <x:c r="J77" s="5"/>
      <x:c r="K77" s="6" t="str">
        <x:f t="shared" si="2"/>
      </x:c>
      <x:c r="L77" s="8" t="str">
        <x:f>IF(Matchschema!$K72="","",IF(AND(I77=Matchschema!$K72,J77=Matchschema!$L72),Regler!$B$4,IF(K77=Matchschema!$M72,Regler!$B$5,0)))</x:f>
      </x:c>
      <x:c r="M77" s="3"/>
    </x:row>
    <x:row r="78" ht="15">
      <x:c r="A78" s="3" t="n">
        <x:f>Matchschema!A73</x:f>
        <x:v>72</x:v>
      </x:c>
      <x:c r="B78" s="3" t="str">
        <x:f>Matchschema!B73</x:f>
        <x:v>Gruppspel</x:v>
      </x:c>
      <x:c r="C78" s="3" t="str">
        <x:f>Matchschema!C73</x:f>
        <x:v>J</x:v>
      </x:c>
      <x:c r="D78" s="4" t="n">
        <x:f>Matchschema!D73</x:f>
        <x:v>46201.166666666664</x:v>
      </x:c>
      <x:c r="E78" s="3" t="str">
        <x:f>Matchschema!E73</x:f>
        <x:v>04:00</x:v>
      </x:c>
      <x:c r="F78" s="3" t="str">
        <x:f>Matchschema!H73</x:f>
        <x:v>Jordan</x:v>
      </x:c>
      <x:c r="G78" s="3" t="str">
        <x:f>Matchschema!I73</x:f>
        <x:v>Argentina</x:v>
      </x:c>
      <x:c r="H78" s="3" t="str">
        <x:f>Matchschema!J73</x:f>
        <x:v>AT&amp;T Stadium, Arlington</x:v>
      </x:c>
      <x:c r="I78" s="5"/>
      <x:c r="J78" s="5"/>
      <x:c r="K78" s="6" t="str">
        <x:f t="shared" si="2"/>
      </x:c>
      <x:c r="L78" s="8" t="str">
        <x:f>IF(Matchschema!$K73="","",IF(AND(I78=Matchschema!$K73,J78=Matchschema!$L73),Regler!$B$4,IF(K78=Matchschema!$M73,Regler!$B$5,0)))</x:f>
      </x:c>
      <x:c r="M78" s="3"/>
    </x:row>
    <x:row r="79" ht="15">
      <x:c r="A79" s="3" t="n">
        <x:f>Matchschema!A74</x:f>
        <x:v>73</x:v>
      </x:c>
      <x:c r="B79" s="3" t="str">
        <x:f>Matchschema!B74</x:f>
        <x:v>32-delsfinal</x:v>
      </x:c>
      <x:c r="C79" s="3" t="n">
        <x:f>Matchschema!C74</x:f>
        <x:v>0</x:v>
      </x:c>
      <x:c r="D79" s="4" t="n">
        <x:f>Matchschema!D74</x:f>
        <x:v>46201.875</x:v>
      </x:c>
      <x:c r="E79" s="3" t="str">
        <x:f>Matchschema!E74</x:f>
        <x:v>21:00</x:v>
      </x:c>
      <x:c r="F79" s="3" t="str">
        <x:f>Matchschema!H74</x:f>
        <x:v>Runner-up A</x:v>
      </x:c>
      <x:c r="G79" s="3" t="str">
        <x:f>Matchschema!I74</x:f>
        <x:v>Runner-up B</x:v>
      </x:c>
      <x:c r="H79" s="3" t="str">
        <x:f>Matchschema!J74</x:f>
        <x:v>SoFi Stadium, Inglewood</x:v>
      </x:c>
      <x:c r="I79" s="5"/>
      <x:c r="J79" s="5"/>
      <x:c r="K79" s="6" t="str">
        <x:f t="shared" si="2"/>
      </x:c>
      <x:c r="L79" s="8" t="str">
        <x:f>IF(Matchschema!$K74="","",IF(AND(I79=Matchschema!$K74,J79=Matchschema!$L74),Regler!$B$4,IF(K79=Matchschema!$M74,Regler!$B$5,0)))</x:f>
      </x:c>
      <x:c r="M79" s="3"/>
    </x:row>
    <x:row r="80" ht="15">
      <x:c r="A80" s="3" t="n">
        <x:f>Matchschema!A75</x:f>
        <x:v>74</x:v>
      </x:c>
      <x:c r="B80" s="3" t="str">
        <x:f>Matchschema!B75</x:f>
        <x:v>32-delsfinal</x:v>
      </x:c>
      <x:c r="C80" s="3" t="n">
        <x:f>Matchschema!C75</x:f>
        <x:v>0</x:v>
      </x:c>
      <x:c r="D80" s="4" t="n">
        <x:f>Matchschema!D75</x:f>
        <x:v>46202.791666666664</x:v>
      </x:c>
      <x:c r="E80" s="3" t="str">
        <x:f>Matchschema!E75</x:f>
        <x:v>19:00</x:v>
      </x:c>
      <x:c r="F80" s="3" t="str">
        <x:f>Matchschema!H75</x:f>
        <x:v>Winner C</x:v>
      </x:c>
      <x:c r="G80" s="3" t="str">
        <x:f>Matchschema!I75</x:f>
        <x:v>Runner-up F</x:v>
      </x:c>
      <x:c r="H80" s="3" t="str">
        <x:f>Matchschema!J75</x:f>
        <x:v>NRG Stadium, Houston</x:v>
      </x:c>
      <x:c r="I80" s="5"/>
      <x:c r="J80" s="5"/>
      <x:c r="K80" s="6" t="str">
        <x:f t="shared" si="2"/>
      </x:c>
      <x:c r="L80" s="8" t="str">
        <x:f>IF(Matchschema!$K75="","",IF(AND(I80=Matchschema!$K75,J80=Matchschema!$L75),Regler!$B$4,IF(K80=Matchschema!$M75,Regler!$B$5,0)))</x:f>
      </x:c>
      <x:c r="M80" s="3"/>
    </x:row>
    <x:row r="81" ht="15">
      <x:c r="A81" s="3" t="n">
        <x:f>Matchschema!A76</x:f>
        <x:v>75</x:v>
      </x:c>
      <x:c r="B81" s="3" t="str">
        <x:f>Matchschema!B76</x:f>
        <x:v>32-delsfinal</x:v>
      </x:c>
      <x:c r="C81" s="3" t="n">
        <x:f>Matchschema!C76</x:f>
        <x:v>0</x:v>
      </x:c>
      <x:c r="D81" s="4" t="n">
        <x:f>Matchschema!D76</x:f>
        <x:v>46202.9375</x:v>
      </x:c>
      <x:c r="E81" s="3" t="str">
        <x:f>Matchschema!E76</x:f>
        <x:v>22:30</x:v>
      </x:c>
      <x:c r="F81" s="3" t="str">
        <x:f>Matchschema!H76</x:f>
        <x:v>Winner E</x:v>
      </x:c>
      <x:c r="G81" s="3" t="str">
        <x:f>Matchschema!I76</x:f>
        <x:v>Best 3rd (A/B/C/D/F)</x:v>
      </x:c>
      <x:c r="H81" s="3" t="str">
        <x:f>Matchschema!J76</x:f>
        <x:v>Gillette Stadium, Foxborough</x:v>
      </x:c>
      <x:c r="I81" s="5"/>
      <x:c r="J81" s="5"/>
      <x:c r="K81" s="6" t="str">
        <x:f t="shared" si="2"/>
      </x:c>
      <x:c r="L81" s="8" t="str">
        <x:f>IF(Matchschema!$K76="","",IF(AND(I81=Matchschema!$K76,J81=Matchschema!$L76),Regler!$B$4,IF(K81=Matchschema!$M76,Regler!$B$5,0)))</x:f>
      </x:c>
      <x:c r="M81" s="3"/>
    </x:row>
    <x:row r="82" ht="15">
      <x:c r="A82" s="3" t="n">
        <x:f>Matchschema!A77</x:f>
        <x:v>76</x:v>
      </x:c>
      <x:c r="B82" s="3" t="str">
        <x:f>Matchschema!B77</x:f>
        <x:v>32-delsfinal</x:v>
      </x:c>
      <x:c r="C82" s="3" t="n">
        <x:f>Matchschema!C77</x:f>
        <x:v>0</x:v>
      </x:c>
      <x:c r="D82" s="4" t="n">
        <x:f>Matchschema!D77</x:f>
        <x:v>46203.125</x:v>
      </x:c>
      <x:c r="E82" s="3" t="str">
        <x:f>Matchschema!E77</x:f>
        <x:v>03:00</x:v>
      </x:c>
      <x:c r="F82" s="3" t="str">
        <x:f>Matchschema!H77</x:f>
        <x:v>Winner F</x:v>
      </x:c>
      <x:c r="G82" s="3" t="str">
        <x:f>Matchschema!I77</x:f>
        <x:v>Runner-up C</x:v>
      </x:c>
      <x:c r="H82" s="3" t="str">
        <x:f>Matchschema!J77</x:f>
        <x:v>Estadio BBVA, Monterrey</x:v>
      </x:c>
      <x:c r="I82" s="5"/>
      <x:c r="J82" s="5"/>
      <x:c r="K82" s="6" t="str">
        <x:f t="shared" si="2"/>
      </x:c>
      <x:c r="L82" s="8" t="str">
        <x:f>IF(Matchschema!$K77="","",IF(AND(I82=Matchschema!$K77,J82=Matchschema!$L77),Regler!$B$4,IF(K82=Matchschema!$M77,Regler!$B$5,0)))</x:f>
      </x:c>
      <x:c r="M82" s="3"/>
    </x:row>
    <x:row r="83" ht="15">
      <x:c r="A83" s="3" t="n">
        <x:f>Matchschema!A78</x:f>
        <x:v>77</x:v>
      </x:c>
      <x:c r="B83" s="3" t="str">
        <x:f>Matchschema!B78</x:f>
        <x:v>32-delsfinal</x:v>
      </x:c>
      <x:c r="C83" s="3" t="n">
        <x:f>Matchschema!C78</x:f>
        <x:v>0</x:v>
      </x:c>
      <x:c r="D83" s="4" t="n">
        <x:f>Matchschema!D78</x:f>
        <x:v>46203.791666666664</x:v>
      </x:c>
      <x:c r="E83" s="3" t="str">
        <x:f>Matchschema!E78</x:f>
        <x:v>19:00</x:v>
      </x:c>
      <x:c r="F83" s="3" t="str">
        <x:f>Matchschema!H78</x:f>
        <x:v>Runner-up E</x:v>
      </x:c>
      <x:c r="G83" s="3" t="str">
        <x:f>Matchschema!I78</x:f>
        <x:v>Runner-up I</x:v>
      </x:c>
      <x:c r="H83" s="3" t="str">
        <x:f>Matchschema!J78</x:f>
        <x:v>AT&amp;T Stadium, Arlington</x:v>
      </x:c>
      <x:c r="I83" s="5"/>
      <x:c r="J83" s="5"/>
      <x:c r="K83" s="6" t="str">
        <x:f t="shared" si="2"/>
      </x:c>
      <x:c r="L83" s="8" t="str">
        <x:f>IF(Matchschema!$K78="","",IF(AND(I83=Matchschema!$K78,J83=Matchschema!$L78),Regler!$B$4,IF(K83=Matchschema!$M78,Regler!$B$5,0)))</x:f>
      </x:c>
      <x:c r="M83" s="3"/>
    </x:row>
    <x:row r="84" ht="15">
      <x:c r="A84" s="3" t="n">
        <x:f>Matchschema!A79</x:f>
        <x:v>78</x:v>
      </x:c>
      <x:c r="B84" s="3" t="str">
        <x:f>Matchschema!B79</x:f>
        <x:v>32-delsfinal</x:v>
      </x:c>
      <x:c r="C84" s="3" t="n">
        <x:f>Matchschema!C79</x:f>
        <x:v>0</x:v>
      </x:c>
      <x:c r="D84" s="4" t="n">
        <x:f>Matchschema!D79</x:f>
        <x:v>46203.958333333336</x:v>
      </x:c>
      <x:c r="E84" s="3" t="str">
        <x:f>Matchschema!E79</x:f>
        <x:v>23:00</x:v>
      </x:c>
      <x:c r="F84" s="3" t="str">
        <x:f>Matchschema!H79</x:f>
        <x:v>Winner I</x:v>
      </x:c>
      <x:c r="G84" s="3" t="str">
        <x:f>Matchschema!I79</x:f>
        <x:v>Best 3rd (C/D/F/G/H)</x:v>
      </x:c>
      <x:c r="H84" s="3" t="str">
        <x:f>Matchschema!J79</x:f>
        <x:v>MetLife Stadium, East Rutherford</x:v>
      </x:c>
      <x:c r="I84" s="5"/>
      <x:c r="J84" s="5"/>
      <x:c r="K84" s="6" t="str">
        <x:f t="shared" si="2"/>
      </x:c>
      <x:c r="L84" s="8" t="str">
        <x:f>IF(Matchschema!$K79="","",IF(AND(I84=Matchschema!$K79,J84=Matchschema!$L79),Regler!$B$4,IF(K84=Matchschema!$M79,Regler!$B$5,0)))</x:f>
      </x:c>
      <x:c r="M84" s="3"/>
    </x:row>
    <x:row r="85" ht="15">
      <x:c r="A85" s="3" t="n">
        <x:f>Matchschema!A80</x:f>
        <x:v>79</x:v>
      </x:c>
      <x:c r="B85" s="3" t="str">
        <x:f>Matchschema!B80</x:f>
        <x:v>32-delsfinal</x:v>
      </x:c>
      <x:c r="C85" s="3" t="n">
        <x:f>Matchschema!C80</x:f>
        <x:v>0</x:v>
      </x:c>
      <x:c r="D85" s="4" t="n">
        <x:f>Matchschema!D80</x:f>
        <x:v>46204.125</x:v>
      </x:c>
      <x:c r="E85" s="3" t="str">
        <x:f>Matchschema!E80</x:f>
        <x:v>03:00</x:v>
      </x:c>
      <x:c r="F85" s="3" t="str">
        <x:f>Matchschema!H80</x:f>
        <x:v>Winner A</x:v>
      </x:c>
      <x:c r="G85" s="3" t="str">
        <x:f>Matchschema!I80</x:f>
        <x:v>Best 3rd (C/E/F/H/I)</x:v>
      </x:c>
      <x:c r="H85" s="3" t="str">
        <x:f>Matchschema!J80</x:f>
        <x:v>Estadio Azteca, Mexico City</x:v>
      </x:c>
      <x:c r="I85" s="5"/>
      <x:c r="J85" s="5"/>
      <x:c r="K85" s="6" t="str">
        <x:f t="shared" si="2"/>
      </x:c>
      <x:c r="L85" s="8" t="str">
        <x:f>IF(Matchschema!$K80="","",IF(AND(I85=Matchschema!$K80,J85=Matchschema!$L80),Regler!$B$4,IF(K85=Matchschema!$M80,Regler!$B$5,0)))</x:f>
      </x:c>
      <x:c r="M85" s="3"/>
    </x:row>
    <x:row r="86" ht="15">
      <x:c r="A86" s="3" t="n">
        <x:f>Matchschema!A81</x:f>
        <x:v>80</x:v>
      </x:c>
      <x:c r="B86" s="3" t="str">
        <x:f>Matchschema!B81</x:f>
        <x:v>32-delsfinal</x:v>
      </x:c>
      <x:c r="C86" s="3" t="n">
        <x:f>Matchschema!C81</x:f>
        <x:v>0</x:v>
      </x:c>
      <x:c r="D86" s="4" t="n">
        <x:f>Matchschema!D81</x:f>
        <x:v>46204.75</x:v>
      </x:c>
      <x:c r="E86" s="3" t="str">
        <x:f>Matchschema!E81</x:f>
        <x:v>18:00</x:v>
      </x:c>
      <x:c r="F86" s="3" t="str">
        <x:f>Matchschema!H81</x:f>
        <x:v>Winner L</x:v>
      </x:c>
      <x:c r="G86" s="3" t="str">
        <x:f>Matchschema!I81</x:f>
        <x:v>Best 3rd (E/H/I/J/K)</x:v>
      </x:c>
      <x:c r="H86" s="3" t="str">
        <x:f>Matchschema!J81</x:f>
        <x:v>Mercedes-Benz Stadium, Atlanta</x:v>
      </x:c>
      <x:c r="I86" s="5"/>
      <x:c r="J86" s="5"/>
      <x:c r="K86" s="6" t="str">
        <x:f t="shared" si="2"/>
      </x:c>
      <x:c r="L86" s="8" t="str">
        <x:f>IF(Matchschema!$K81="","",IF(AND(I86=Matchschema!$K81,J86=Matchschema!$L81),Regler!$B$4,IF(K86=Matchschema!$M81,Regler!$B$5,0)))</x:f>
      </x:c>
      <x:c r="M86" s="3"/>
    </x:row>
    <x:row r="87" ht="15">
      <x:c r="A87" s="3" t="n">
        <x:f>Matchschema!A82</x:f>
        <x:v>81</x:v>
      </x:c>
      <x:c r="B87" s="3" t="str">
        <x:f>Matchschema!B82</x:f>
        <x:v>32-delsfinal</x:v>
      </x:c>
      <x:c r="C87" s="3" t="n">
        <x:f>Matchschema!C82</x:f>
        <x:v>0</x:v>
      </x:c>
      <x:c r="D87" s="4" t="n">
        <x:f>Matchschema!D82</x:f>
        <x:v>46204.916666666664</x:v>
      </x:c>
      <x:c r="E87" s="3" t="str">
        <x:f>Matchschema!E82</x:f>
        <x:v>22:00</x:v>
      </x:c>
      <x:c r="F87" s="3" t="str">
        <x:f>Matchschema!H82</x:f>
        <x:v>Winner G</x:v>
      </x:c>
      <x:c r="G87" s="3" t="str">
        <x:f>Matchschema!I82</x:f>
        <x:v>Best 3rd (A/E/H/I/J)</x:v>
      </x:c>
      <x:c r="H87" s="3" t="str">
        <x:f>Matchschema!J82</x:f>
        <x:v>Lumen Field, Seattle</x:v>
      </x:c>
      <x:c r="I87" s="5"/>
      <x:c r="J87" s="5"/>
      <x:c r="K87" s="6" t="str">
        <x:f t="shared" si="2"/>
      </x:c>
      <x:c r="L87" s="8" t="str">
        <x:f>IF(Matchschema!$K82="","",IF(AND(I87=Matchschema!$K82,J87=Matchschema!$L82),Regler!$B$4,IF(K87=Matchschema!$M82,Regler!$B$5,0)))</x:f>
      </x:c>
      <x:c r="M87" s="3"/>
    </x:row>
    <x:row r="88" ht="15">
      <x:c r="A88" s="3" t="n">
        <x:f>Matchschema!A83</x:f>
        <x:v>82</x:v>
      </x:c>
      <x:c r="B88" s="3" t="str">
        <x:f>Matchschema!B83</x:f>
        <x:v>32-delsfinal</x:v>
      </x:c>
      <x:c r="C88" s="3" t="n">
        <x:f>Matchschema!C83</x:f>
        <x:v>0</x:v>
      </x:c>
      <x:c r="D88" s="4" t="n">
        <x:f>Matchschema!D83</x:f>
        <x:v>46205.083333333336</x:v>
      </x:c>
      <x:c r="E88" s="3" t="str">
        <x:f>Matchschema!E83</x:f>
        <x:v>02:00</x:v>
      </x:c>
      <x:c r="F88" s="3" t="str">
        <x:f>Matchschema!H83</x:f>
        <x:v>Winner D</x:v>
      </x:c>
      <x:c r="G88" s="3" t="str">
        <x:f>Matchschema!I83</x:f>
        <x:v>Best 3rd (B/E/F/I/J)</x:v>
      </x:c>
      <x:c r="H88" s="3" t="str">
        <x:f>Matchschema!J83</x:f>
        <x:v>Levi’s Stadium, Santa Clara</x:v>
      </x:c>
      <x:c r="I88" s="5"/>
      <x:c r="J88" s="5"/>
      <x:c r="K88" s="6" t="str">
        <x:f t="shared" si="2"/>
      </x:c>
      <x:c r="L88" s="8" t="str">
        <x:f>IF(Matchschema!$K83="","",IF(AND(I88=Matchschema!$K83,J88=Matchschema!$L83),Regler!$B$4,IF(K88=Matchschema!$M83,Regler!$B$5,0)))</x:f>
      </x:c>
      <x:c r="M88" s="3"/>
    </x:row>
    <x:row r="89" ht="15">
      <x:c r="A89" s="3" t="n">
        <x:f>Matchschema!A84</x:f>
        <x:v>83</x:v>
      </x:c>
      <x:c r="B89" s="3" t="str">
        <x:f>Matchschema!B84</x:f>
        <x:v>32-delsfinal</x:v>
      </x:c>
      <x:c r="C89" s="3" t="n">
        <x:f>Matchschema!C84</x:f>
        <x:v>0</x:v>
      </x:c>
      <x:c r="D89" s="4" t="n">
        <x:f>Matchschema!D84</x:f>
        <x:v>46205.875</x:v>
      </x:c>
      <x:c r="E89" s="3" t="str">
        <x:f>Matchschema!E84</x:f>
        <x:v>21:00</x:v>
      </x:c>
      <x:c r="F89" s="3" t="str">
        <x:f>Matchschema!H84</x:f>
        <x:v>Winner H</x:v>
      </x:c>
      <x:c r="G89" s="3" t="str">
        <x:f>Matchschema!I84</x:f>
        <x:v>Runner-up J</x:v>
      </x:c>
      <x:c r="H89" s="3" t="str">
        <x:f>Matchschema!J84</x:f>
        <x:v>SoFi Stadium, Inglewood</x:v>
      </x:c>
      <x:c r="I89" s="5"/>
      <x:c r="J89" s="5"/>
      <x:c r="K89" s="6" t="str">
        <x:f t="shared" si="2"/>
      </x:c>
      <x:c r="L89" s="8" t="str">
        <x:f>IF(Matchschema!$K84="","",IF(AND(I89=Matchschema!$K84,J89=Matchschema!$L84),Regler!$B$4,IF(K89=Matchschema!$M84,Regler!$B$5,0)))</x:f>
      </x:c>
      <x:c r="M89" s="3"/>
    </x:row>
    <x:row r="90" ht="15">
      <x:c r="A90" s="3" t="n">
        <x:f>Matchschema!A85</x:f>
        <x:v>84</x:v>
      </x:c>
      <x:c r="B90" s="3" t="str">
        <x:f>Matchschema!B85</x:f>
        <x:v>32-delsfinal</x:v>
      </x:c>
      <x:c r="C90" s="3" t="n">
        <x:f>Matchschema!C85</x:f>
        <x:v>0</x:v>
      </x:c>
      <x:c r="D90" s="4" t="n">
        <x:f>Matchschema!D85</x:f>
        <x:v>46206.041666666664</x:v>
      </x:c>
      <x:c r="E90" s="3" t="str">
        <x:f>Matchschema!E85</x:f>
        <x:v>01:00</x:v>
      </x:c>
      <x:c r="F90" s="3" t="str">
        <x:f>Matchschema!H85</x:f>
        <x:v>Runner-up K</x:v>
      </x:c>
      <x:c r="G90" s="3" t="str">
        <x:f>Matchschema!I85</x:f>
        <x:v>Runner-up L</x:v>
      </x:c>
      <x:c r="H90" s="3" t="str">
        <x:f>Matchschema!J85</x:f>
        <x:v>BMO Field, Toronto</x:v>
      </x:c>
      <x:c r="I90" s="5"/>
      <x:c r="J90" s="5"/>
      <x:c r="K90" s="6" t="str">
        <x:f t="shared" si="2"/>
      </x:c>
      <x:c r="L90" s="8" t="str">
        <x:f>IF(Matchschema!$K85="","",IF(AND(I90=Matchschema!$K85,J90=Matchschema!$L85),Regler!$B$4,IF(K90=Matchschema!$M85,Regler!$B$5,0)))</x:f>
      </x:c>
      <x:c r="M90" s="3"/>
    </x:row>
    <x:row r="91" ht="15">
      <x:c r="A91" s="3" t="n">
        <x:f>Matchschema!A86</x:f>
        <x:v>85</x:v>
      </x:c>
      <x:c r="B91" s="3" t="str">
        <x:f>Matchschema!B86</x:f>
        <x:v>32-delsfinal</x:v>
      </x:c>
      <x:c r="C91" s="3" t="n">
        <x:f>Matchschema!C86</x:f>
        <x:v>0</x:v>
      </x:c>
      <x:c r="D91" s="4" t="n">
        <x:f>Matchschema!D86</x:f>
        <x:v>46206.208333333336</x:v>
      </x:c>
      <x:c r="E91" s="3" t="str">
        <x:f>Matchschema!E86</x:f>
        <x:v>05:00</x:v>
      </x:c>
      <x:c r="F91" s="3" t="str">
        <x:f>Matchschema!H86</x:f>
        <x:v>Winner B</x:v>
      </x:c>
      <x:c r="G91" s="3" t="str">
        <x:f>Matchschema!I86</x:f>
        <x:v>Best 3rd (E/F/G/I/J)</x:v>
      </x:c>
      <x:c r="H91" s="3" t="str">
        <x:f>Matchschema!J86</x:f>
        <x:v>BC Place, Vancouver</x:v>
      </x:c>
      <x:c r="I91" s="5"/>
      <x:c r="J91" s="5"/>
      <x:c r="K91" s="6" t="str">
        <x:f t="shared" si="2"/>
      </x:c>
      <x:c r="L91" s="8" t="str">
        <x:f>IF(Matchschema!$K86="","",IF(AND(I91=Matchschema!$K86,J91=Matchschema!$L86),Regler!$B$4,IF(K91=Matchschema!$M86,Regler!$B$5,0)))</x:f>
      </x:c>
      <x:c r="M91" s="3"/>
    </x:row>
    <x:row r="92" ht="15">
      <x:c r="A92" s="3" t="n">
        <x:f>Matchschema!A87</x:f>
        <x:v>86</x:v>
      </x:c>
      <x:c r="B92" s="3" t="str">
        <x:f>Matchschema!B87</x:f>
        <x:v>32-delsfinal</x:v>
      </x:c>
      <x:c r="C92" s="3" t="n">
        <x:f>Matchschema!C87</x:f>
        <x:v>0</x:v>
      </x:c>
      <x:c r="D92" s="4" t="n">
        <x:f>Matchschema!D87</x:f>
        <x:v>46206.833333333336</x:v>
      </x:c>
      <x:c r="E92" s="3" t="str">
        <x:f>Matchschema!E87</x:f>
        <x:v>20:00</x:v>
      </x:c>
      <x:c r="F92" s="3" t="str">
        <x:f>Matchschema!H87</x:f>
        <x:v>Runner-up D</x:v>
      </x:c>
      <x:c r="G92" s="3" t="str">
        <x:f>Matchschema!I87</x:f>
        <x:v>Runner-up G</x:v>
      </x:c>
      <x:c r="H92" s="3" t="str">
        <x:f>Matchschema!J87</x:f>
        <x:v>AT&amp;T Stadium, Arlington</x:v>
      </x:c>
      <x:c r="I92" s="5"/>
      <x:c r="J92" s="5"/>
      <x:c r="K92" s="6" t="str">
        <x:f t="shared" si="2"/>
      </x:c>
      <x:c r="L92" s="8" t="str">
        <x:f>IF(Matchschema!$K87="","",IF(AND(I92=Matchschema!$K87,J92=Matchschema!$L87),Regler!$B$4,IF(K92=Matchschema!$M87,Regler!$B$5,0)))</x:f>
      </x:c>
      <x:c r="M92" s="3"/>
    </x:row>
    <x:row r="93" ht="15">
      <x:c r="A93" s="3" t="n">
        <x:f>Matchschema!A88</x:f>
        <x:v>87</x:v>
      </x:c>
      <x:c r="B93" s="3" t="str">
        <x:f>Matchschema!B88</x:f>
        <x:v>32-delsfinal</x:v>
      </x:c>
      <x:c r="C93" s="3" t="n">
        <x:f>Matchschema!C88</x:f>
        <x:v>0</x:v>
      </x:c>
      <x:c r="D93" s="4" t="n">
        <x:f>Matchschema!D88</x:f>
        <x:v>46207</x:v>
      </x:c>
      <x:c r="E93" s="3" t="str">
        <x:f>Matchschema!E88</x:f>
        <x:v>00:00</x:v>
      </x:c>
      <x:c r="F93" s="3" t="str">
        <x:f>Matchschema!H88</x:f>
        <x:v>Winner J</x:v>
      </x:c>
      <x:c r="G93" s="3" t="str">
        <x:f>Matchschema!I88</x:f>
        <x:v>Runner-up H</x:v>
      </x:c>
      <x:c r="H93" s="3" t="str">
        <x:f>Matchschema!J88</x:f>
        <x:v>Hard Rock Stadium, Miami Gardens</x:v>
      </x:c>
      <x:c r="I93" s="5"/>
      <x:c r="J93" s="5"/>
      <x:c r="K93" s="6" t="str">
        <x:f t="shared" si="2"/>
      </x:c>
      <x:c r="L93" s="8" t="str">
        <x:f>IF(Matchschema!$K88="","",IF(AND(I93=Matchschema!$K88,J93=Matchschema!$L88),Regler!$B$4,IF(K93=Matchschema!$M88,Regler!$B$5,0)))</x:f>
      </x:c>
      <x:c r="M93" s="3"/>
    </x:row>
    <x:row r="94" ht="15">
      <x:c r="A94" s="3" t="n">
        <x:f>Matchschema!A89</x:f>
        <x:v>88</x:v>
      </x:c>
      <x:c r="B94" s="3" t="str">
        <x:f>Matchschema!B89</x:f>
        <x:v>32-delsfinal</x:v>
      </x:c>
      <x:c r="C94" s="3" t="n">
        <x:f>Matchschema!C89</x:f>
        <x:v>0</x:v>
      </x:c>
      <x:c r="D94" s="4" t="n">
        <x:f>Matchschema!D89</x:f>
        <x:v>46207.145833333336</x:v>
      </x:c>
      <x:c r="E94" s="3" t="str">
        <x:f>Matchschema!E89</x:f>
        <x:v>03:30</x:v>
      </x:c>
      <x:c r="F94" s="3" t="str">
        <x:f>Matchschema!H89</x:f>
        <x:v>Winner K</x:v>
      </x:c>
      <x:c r="G94" s="3" t="str">
        <x:f>Matchschema!I89</x:f>
        <x:v>Best 3rd (D/E/I/J/L)</x:v>
      </x:c>
      <x:c r="H94" s="3" t="str">
        <x:f>Matchschema!J89</x:f>
        <x:v>Arrowhead Stadium, Kansas City</x:v>
      </x:c>
      <x:c r="I94" s="5"/>
      <x:c r="J94" s="5"/>
      <x:c r="K94" s="6" t="str">
        <x:f t="shared" si="2"/>
      </x:c>
      <x:c r="L94" s="8" t="str">
        <x:f>IF(Matchschema!$K89="","",IF(AND(I94=Matchschema!$K89,J94=Matchschema!$L89),Regler!$B$4,IF(K94=Matchschema!$M89,Regler!$B$5,0)))</x:f>
      </x:c>
      <x:c r="M94" s="3"/>
    </x:row>
    <x:row r="95" ht="15">
      <x:c r="A95" s="3" t="n">
        <x:f>Matchschema!A90</x:f>
        <x:v>89</x:v>
      </x:c>
      <x:c r="B95" s="3" t="str">
        <x:f>Matchschema!B90</x:f>
        <x:v>Åttondelsfinal</x:v>
      </x:c>
      <x:c r="C95" s="3" t="n">
        <x:f>Matchschema!C90</x:f>
        <x:v>0</x:v>
      </x:c>
      <x:c r="D95" s="4" t="n">
        <x:f>Matchschema!D90</x:f>
        <x:v>46207.791666666664</x:v>
      </x:c>
      <x:c r="E95" s="3" t="str">
        <x:f>Matchschema!E90</x:f>
        <x:v>19:00</x:v>
      </x:c>
      <x:c r="F95" s="3" t="str">
        <x:f>Matchschema!H90</x:f>
        <x:v>Winner Match 73</x:v>
      </x:c>
      <x:c r="G95" s="3" t="str">
        <x:f>Matchschema!I90</x:f>
        <x:v>Winner Match 75</x:v>
      </x:c>
      <x:c r="H95" s="3" t="str">
        <x:f>Matchschema!J90</x:f>
        <x:v>NRG Stadium, Houston</x:v>
      </x:c>
      <x:c r="I95" s="5"/>
      <x:c r="J95" s="5"/>
      <x:c r="K95" s="6" t="str">
        <x:f t="shared" si="2"/>
      </x:c>
      <x:c r="L95" s="8" t="str">
        <x:f>IF(Matchschema!$K90="","",IF(AND(I95=Matchschema!$K90,J95=Matchschema!$L90),Regler!$B$4,IF(K95=Matchschema!$M90,Regler!$B$5,0)))</x:f>
      </x:c>
      <x:c r="M95" s="3"/>
    </x:row>
    <x:row r="96" ht="15">
      <x:c r="A96" s="3" t="n">
        <x:f>Matchschema!A91</x:f>
        <x:v>90</x:v>
      </x:c>
      <x:c r="B96" s="3" t="str">
        <x:f>Matchschema!B91</x:f>
        <x:v>Åttondelsfinal</x:v>
      </x:c>
      <x:c r="C96" s="3" t="n">
        <x:f>Matchschema!C91</x:f>
        <x:v>0</x:v>
      </x:c>
      <x:c r="D96" s="4" t="n">
        <x:f>Matchschema!D91</x:f>
        <x:v>46207.958333333336</x:v>
      </x:c>
      <x:c r="E96" s="3" t="str">
        <x:f>Matchschema!E91</x:f>
        <x:v>23:00</x:v>
      </x:c>
      <x:c r="F96" s="3" t="str">
        <x:f>Matchschema!H91</x:f>
        <x:v>Winner Match 74</x:v>
      </x:c>
      <x:c r="G96" s="3" t="str">
        <x:f>Matchschema!I91</x:f>
        <x:v>Winner Match 77</x:v>
      </x:c>
      <x:c r="H96" s="3" t="str">
        <x:f>Matchschema!J91</x:f>
        <x:v>Lincoln Financial Field, Philadelphia</x:v>
      </x:c>
      <x:c r="I96" s="5"/>
      <x:c r="J96" s="5"/>
      <x:c r="K96" s="6" t="str">
        <x:f t="shared" si="2"/>
      </x:c>
      <x:c r="L96" s="8" t="str">
        <x:f>IF(Matchschema!$K91="","",IF(AND(I96=Matchschema!$K91,J96=Matchschema!$L91),Regler!$B$4,IF(K96=Matchschema!$M91,Regler!$B$5,0)))</x:f>
      </x:c>
      <x:c r="M96" s="3"/>
    </x:row>
    <x:row r="97" ht="15">
      <x:c r="A97" s="3" t="n">
        <x:f>Matchschema!A92</x:f>
        <x:v>91</x:v>
      </x:c>
      <x:c r="B97" s="3" t="str">
        <x:f>Matchschema!B92</x:f>
        <x:v>Åttondelsfinal</x:v>
      </x:c>
      <x:c r="C97" s="3" t="n">
        <x:f>Matchschema!C92</x:f>
        <x:v>0</x:v>
      </x:c>
      <x:c r="D97" s="4" t="n">
        <x:f>Matchschema!D92</x:f>
        <x:v>46208.916666666664</x:v>
      </x:c>
      <x:c r="E97" s="3" t="str">
        <x:f>Matchschema!E92</x:f>
        <x:v>22:00</x:v>
      </x:c>
      <x:c r="F97" s="3" t="str">
        <x:f>Matchschema!H92</x:f>
        <x:v>Winner Match 76</x:v>
      </x:c>
      <x:c r="G97" s="3" t="str">
        <x:f>Matchschema!I92</x:f>
        <x:v>Winner Match 78</x:v>
      </x:c>
      <x:c r="H97" s="3" t="str">
        <x:f>Matchschema!J92</x:f>
        <x:v>MetLife Stadium, East Rutherford</x:v>
      </x:c>
      <x:c r="I97" s="5"/>
      <x:c r="J97" s="5"/>
      <x:c r="K97" s="6" t="str">
        <x:f t="shared" si="2"/>
      </x:c>
      <x:c r="L97" s="8" t="str">
        <x:f>IF(Matchschema!$K92="","",IF(AND(I97=Matchschema!$K92,J97=Matchschema!$L92),Regler!$B$4,IF(K97=Matchschema!$M92,Regler!$B$5,0)))</x:f>
      </x:c>
      <x:c r="M97" s="3"/>
    </x:row>
    <x:row r="98" ht="15">
      <x:c r="A98" s="3" t="n">
        <x:f>Matchschema!A93</x:f>
        <x:v>92</x:v>
      </x:c>
      <x:c r="B98" s="3" t="str">
        <x:f>Matchschema!B93</x:f>
        <x:v>Åttondelsfinal</x:v>
      </x:c>
      <x:c r="C98" s="3" t="n">
        <x:f>Matchschema!C93</x:f>
        <x:v>0</x:v>
      </x:c>
      <x:c r="D98" s="4" t="n">
        <x:f>Matchschema!D93</x:f>
        <x:v>46209.083333333336</x:v>
      </x:c>
      <x:c r="E98" s="3" t="str">
        <x:f>Matchschema!E93</x:f>
        <x:v>02:00</x:v>
      </x:c>
      <x:c r="F98" s="3" t="str">
        <x:f>Matchschema!H93</x:f>
        <x:v>Winner Match 79</x:v>
      </x:c>
      <x:c r="G98" s="3" t="str">
        <x:f>Matchschema!I93</x:f>
        <x:v>Winner Match 80</x:v>
      </x:c>
      <x:c r="H98" s="3" t="str">
        <x:f>Matchschema!J93</x:f>
        <x:v>Estadio Azteca, Mexico City</x:v>
      </x:c>
      <x:c r="I98" s="5"/>
      <x:c r="J98" s="5"/>
      <x:c r="K98" s="6" t="str">
        <x:f t="shared" si="2"/>
      </x:c>
      <x:c r="L98" s="8" t="str">
        <x:f>IF(Matchschema!$K93="","",IF(AND(I98=Matchschema!$K93,J98=Matchschema!$L93),Regler!$B$4,IF(K98=Matchschema!$M93,Regler!$B$5,0)))</x:f>
      </x:c>
      <x:c r="M98" s="3"/>
    </x:row>
    <x:row r="99" ht="15">
      <x:c r="A99" s="3" t="n">
        <x:f>Matchschema!A94</x:f>
        <x:v>93</x:v>
      </x:c>
      <x:c r="B99" s="3" t="str">
        <x:f>Matchschema!B94</x:f>
        <x:v>Åttondelsfinal</x:v>
      </x:c>
      <x:c r="C99" s="3" t="n">
        <x:f>Matchschema!C94</x:f>
        <x:v>0</x:v>
      </x:c>
      <x:c r="D99" s="4" t="n">
        <x:f>Matchschema!D94</x:f>
        <x:v>46209.875</x:v>
      </x:c>
      <x:c r="E99" s="3" t="str">
        <x:f>Matchschema!E94</x:f>
        <x:v>21:00</x:v>
      </x:c>
      <x:c r="F99" s="3" t="str">
        <x:f>Matchschema!H94</x:f>
        <x:v>Winner Match 83</x:v>
      </x:c>
      <x:c r="G99" s="3" t="str">
        <x:f>Matchschema!I94</x:f>
        <x:v>Winner Match 84</x:v>
      </x:c>
      <x:c r="H99" s="3" t="str">
        <x:f>Matchschema!J94</x:f>
        <x:v>AT&amp;T Stadium, Arlington</x:v>
      </x:c>
      <x:c r="I99" s="5"/>
      <x:c r="J99" s="5"/>
      <x:c r="K99" s="6" t="str">
        <x:f t="shared" si="2"/>
      </x:c>
      <x:c r="L99" s="8" t="str">
        <x:f>IF(Matchschema!$K94="","",IF(AND(I99=Matchschema!$K94,J99=Matchschema!$L94),Regler!$B$4,IF(K99=Matchschema!$M94,Regler!$B$5,0)))</x:f>
      </x:c>
      <x:c r="M99" s="3"/>
    </x:row>
    <x:row r="100" ht="15">
      <x:c r="A100" s="3" t="n">
        <x:f>Matchschema!A95</x:f>
        <x:v>94</x:v>
      </x:c>
      <x:c r="B100" s="3" t="str">
        <x:f>Matchschema!B95</x:f>
        <x:v>Åttondelsfinal</x:v>
      </x:c>
      <x:c r="C100" s="3" t="n">
        <x:f>Matchschema!C95</x:f>
        <x:v>0</x:v>
      </x:c>
      <x:c r="D100" s="4" t="n">
        <x:f>Matchschema!D95</x:f>
        <x:v>46210.083333333336</x:v>
      </x:c>
      <x:c r="E100" s="3" t="str">
        <x:f>Matchschema!E95</x:f>
        <x:v>02:00</x:v>
      </x:c>
      <x:c r="F100" s="3" t="str">
        <x:f>Matchschema!H95</x:f>
        <x:v>Winner Match 81</x:v>
      </x:c>
      <x:c r="G100" s="3" t="str">
        <x:f>Matchschema!I95</x:f>
        <x:v>Winner Match 82</x:v>
      </x:c>
      <x:c r="H100" s="3" t="str">
        <x:f>Matchschema!J95</x:f>
        <x:v>Lumen Field, Seattle</x:v>
      </x:c>
      <x:c r="I100" s="5"/>
      <x:c r="J100" s="5"/>
      <x:c r="K100" s="6" t="str">
        <x:f t="shared" si="2"/>
      </x:c>
      <x:c r="L100" s="8" t="str">
        <x:f>IF(Matchschema!$K95="","",IF(AND(I100=Matchschema!$K95,J100=Matchschema!$L95),Regler!$B$4,IF(K100=Matchschema!$M95,Regler!$B$5,0)))</x:f>
      </x:c>
      <x:c r="M100" s="3"/>
    </x:row>
    <x:row r="101" ht="15">
      <x:c r="A101" s="3" t="n">
        <x:f>Matchschema!A96</x:f>
        <x:v>95</x:v>
      </x:c>
      <x:c r="B101" s="3" t="str">
        <x:f>Matchschema!B96</x:f>
        <x:v>Åttondelsfinal</x:v>
      </x:c>
      <x:c r="C101" s="3" t="n">
        <x:f>Matchschema!C96</x:f>
        <x:v>0</x:v>
      </x:c>
      <x:c r="D101" s="4" t="n">
        <x:f>Matchschema!D96</x:f>
        <x:v>46210.75</x:v>
      </x:c>
      <x:c r="E101" s="3" t="str">
        <x:f>Matchschema!E96</x:f>
        <x:v>18:00</x:v>
      </x:c>
      <x:c r="F101" s="3" t="str">
        <x:f>Matchschema!H96</x:f>
        <x:v>Winner Match 86</x:v>
      </x:c>
      <x:c r="G101" s="3" t="str">
        <x:f>Matchschema!I96</x:f>
        <x:v>Winner Match 88</x:v>
      </x:c>
      <x:c r="H101" s="3" t="str">
        <x:f>Matchschema!J96</x:f>
        <x:v>Mercedes-Benz Stadium, Atlanta</x:v>
      </x:c>
      <x:c r="I101" s="5"/>
      <x:c r="J101" s="5"/>
      <x:c r="K101" s="6" t="str">
        <x:f t="shared" si="2"/>
      </x:c>
      <x:c r="L101" s="8" t="str">
        <x:f>IF(Matchschema!$K96="","",IF(AND(I101=Matchschema!$K96,J101=Matchschema!$L96),Regler!$B$4,IF(K101=Matchschema!$M96,Regler!$B$5,0)))</x:f>
      </x:c>
      <x:c r="M101" s="3"/>
    </x:row>
    <x:row r="102" ht="15">
      <x:c r="A102" s="3" t="n">
        <x:f>Matchschema!A97</x:f>
        <x:v>96</x:v>
      </x:c>
      <x:c r="B102" s="3" t="str">
        <x:f>Matchschema!B97</x:f>
        <x:v>Åttondelsfinal</x:v>
      </x:c>
      <x:c r="C102" s="3" t="n">
        <x:f>Matchschema!C97</x:f>
        <x:v>0</x:v>
      </x:c>
      <x:c r="D102" s="4" t="n">
        <x:f>Matchschema!D97</x:f>
        <x:v>46210.916666666664</x:v>
      </x:c>
      <x:c r="E102" s="3" t="str">
        <x:f>Matchschema!E97</x:f>
        <x:v>22:00</x:v>
      </x:c>
      <x:c r="F102" s="3" t="str">
        <x:f>Matchschema!H97</x:f>
        <x:v>Winner Match 85</x:v>
      </x:c>
      <x:c r="G102" s="3" t="str">
        <x:f>Matchschema!I97</x:f>
        <x:v>Winner Match 87</x:v>
      </x:c>
      <x:c r="H102" s="3" t="str">
        <x:f>Matchschema!J97</x:f>
        <x:v>BC Place, Vancouver</x:v>
      </x:c>
      <x:c r="I102" s="5"/>
      <x:c r="J102" s="5"/>
      <x:c r="K102" s="6" t="str">
        <x:f t="shared" si="2"/>
      </x:c>
      <x:c r="L102" s="8" t="str">
        <x:f>IF(Matchschema!$K97="","",IF(AND(I102=Matchschema!$K97,J102=Matchschema!$L97),Regler!$B$4,IF(K102=Matchschema!$M97,Regler!$B$5,0)))</x:f>
      </x:c>
      <x:c r="M102" s="3"/>
    </x:row>
    <x:row r="103" ht="15">
      <x:c r="A103" s="3" t="n">
        <x:f>Matchschema!A98</x:f>
        <x:v>97</x:v>
      </x:c>
      <x:c r="B103" s="3" t="str">
        <x:f>Matchschema!B98</x:f>
        <x:v>Kvartsfinal</x:v>
      </x:c>
      <x:c r="C103" s="3" t="n">
        <x:f>Matchschema!C98</x:f>
        <x:v>0</x:v>
      </x:c>
      <x:c r="D103" s="4" t="n">
        <x:f>Matchschema!D98</x:f>
        <x:v>46212.916666666664</x:v>
      </x:c>
      <x:c r="E103" s="3" t="str">
        <x:f>Matchschema!E98</x:f>
        <x:v>22:00</x:v>
      </x:c>
      <x:c r="F103" s="3" t="str">
        <x:f>Matchschema!H98</x:f>
        <x:v>Winner Match 89</x:v>
      </x:c>
      <x:c r="G103" s="3" t="str">
        <x:f>Matchschema!I98</x:f>
        <x:v>Winner Match 90</x:v>
      </x:c>
      <x:c r="H103" s="3" t="str">
        <x:f>Matchschema!J98</x:f>
        <x:v>Gillette Stadium, Foxborough</x:v>
      </x:c>
      <x:c r="I103" s="5"/>
      <x:c r="J103" s="5"/>
      <x:c r="K103" s="6" t="str">
        <x:f t="shared" ref="K103:K110" si="3">IF(OR(I103="",J103=""),"",IF(I103&gt;J103,"1",IF(I103=J103,"X","2")))</x:f>
      </x:c>
      <x:c r="L103" s="8" t="str">
        <x:f>IF(Matchschema!$K98="","",IF(AND(I103=Matchschema!$K98,J103=Matchschema!$L98),Regler!$B$4,IF(K103=Matchschema!$M98,Regler!$B$5,0)))</x:f>
      </x:c>
      <x:c r="M103" s="3"/>
    </x:row>
    <x:row r="104" ht="15">
      <x:c r="A104" s="3" t="n">
        <x:f>Matchschema!A99</x:f>
        <x:v>98</x:v>
      </x:c>
      <x:c r="B104" s="3" t="str">
        <x:f>Matchschema!B99</x:f>
        <x:v>Kvartsfinal</x:v>
      </x:c>
      <x:c r="C104" s="3" t="n">
        <x:f>Matchschema!C99</x:f>
        <x:v>0</x:v>
      </x:c>
      <x:c r="D104" s="4" t="n">
        <x:f>Matchschema!D99</x:f>
        <x:v>46213.875</x:v>
      </x:c>
      <x:c r="E104" s="3" t="str">
        <x:f>Matchschema!E99</x:f>
        <x:v>21:00</x:v>
      </x:c>
      <x:c r="F104" s="3" t="str">
        <x:f>Matchschema!H99</x:f>
        <x:v>Winner Match 93</x:v>
      </x:c>
      <x:c r="G104" s="3" t="str">
        <x:f>Matchschema!I99</x:f>
        <x:v>Winner Match 94</x:v>
      </x:c>
      <x:c r="H104" s="3" t="str">
        <x:f>Matchschema!J99</x:f>
        <x:v>SoFi Stadium, Inglewood</x:v>
      </x:c>
      <x:c r="I104" s="5"/>
      <x:c r="J104" s="5"/>
      <x:c r="K104" s="6" t="str">
        <x:f t="shared" si="3"/>
      </x:c>
      <x:c r="L104" s="8" t="str">
        <x:f>IF(Matchschema!$K99="","",IF(AND(I104=Matchschema!$K99,J104=Matchschema!$L99),Regler!$B$4,IF(K104=Matchschema!$M99,Regler!$B$5,0)))</x:f>
      </x:c>
      <x:c r="M104" s="3"/>
    </x:row>
    <x:row r="105" ht="15">
      <x:c r="A105" s="3" t="n">
        <x:f>Matchschema!A100</x:f>
        <x:v>99</x:v>
      </x:c>
      <x:c r="B105" s="3" t="str">
        <x:f>Matchschema!B100</x:f>
        <x:v>Kvartsfinal</x:v>
      </x:c>
      <x:c r="C105" s="3" t="n">
        <x:f>Matchschema!C100</x:f>
        <x:v>0</x:v>
      </x:c>
      <x:c r="D105" s="4" t="n">
        <x:f>Matchschema!D100</x:f>
        <x:v>46214.958333333336</x:v>
      </x:c>
      <x:c r="E105" s="3" t="str">
        <x:f>Matchschema!E100</x:f>
        <x:v>23:00</x:v>
      </x:c>
      <x:c r="F105" s="3" t="str">
        <x:f>Matchschema!H100</x:f>
        <x:v>Winner Match 91</x:v>
      </x:c>
      <x:c r="G105" s="3" t="str">
        <x:f>Matchschema!I100</x:f>
        <x:v>Winner Match 92</x:v>
      </x:c>
      <x:c r="H105" s="3" t="str">
        <x:f>Matchschema!J100</x:f>
        <x:v>Hard Rock Stadium, Miami Gardens</x:v>
      </x:c>
      <x:c r="I105" s="5"/>
      <x:c r="J105" s="5"/>
      <x:c r="K105" s="6" t="str">
        <x:f t="shared" si="3"/>
      </x:c>
      <x:c r="L105" s="8" t="str">
        <x:f>IF(Matchschema!$K100="","",IF(AND(I105=Matchschema!$K100,J105=Matchschema!$L100),Regler!$B$4,IF(K105=Matchschema!$M100,Regler!$B$5,0)))</x:f>
      </x:c>
      <x:c r="M105" s="3"/>
    </x:row>
    <x:row r="106" ht="15">
      <x:c r="A106" s="3" t="n">
        <x:f>Matchschema!A101</x:f>
        <x:v>100</x:v>
      </x:c>
      <x:c r="B106" s="3" t="str">
        <x:f>Matchschema!B101</x:f>
        <x:v>Kvartsfinal</x:v>
      </x:c>
      <x:c r="C106" s="3" t="n">
        <x:f>Matchschema!C101</x:f>
        <x:v>0</x:v>
      </x:c>
      <x:c r="D106" s="4" t="n">
        <x:f>Matchschema!D101</x:f>
        <x:v>46215.125</x:v>
      </x:c>
      <x:c r="E106" s="3" t="str">
        <x:f>Matchschema!E101</x:f>
        <x:v>03:00</x:v>
      </x:c>
      <x:c r="F106" s="3" t="str">
        <x:f>Matchschema!H101</x:f>
        <x:v>Winner Match 95</x:v>
      </x:c>
      <x:c r="G106" s="3" t="str">
        <x:f>Matchschema!I101</x:f>
        <x:v>Winner Match 96</x:v>
      </x:c>
      <x:c r="H106" s="3" t="str">
        <x:f>Matchschema!J101</x:f>
        <x:v>Arrowhead Stadium, Kansas City</x:v>
      </x:c>
      <x:c r="I106" s="5"/>
      <x:c r="J106" s="5"/>
      <x:c r="K106" s="6" t="str">
        <x:f t="shared" si="3"/>
      </x:c>
      <x:c r="L106" s="8" t="str">
        <x:f>IF(Matchschema!$K101="","",IF(AND(I106=Matchschema!$K101,J106=Matchschema!$L101),Regler!$B$4,IF(K106=Matchschema!$M101,Regler!$B$5,0)))</x:f>
      </x:c>
      <x:c r="M106" s="3"/>
    </x:row>
    <x:row r="107" ht="15">
      <x:c r="A107" s="3" t="n">
        <x:f>Matchschema!A102</x:f>
        <x:v>101</x:v>
      </x:c>
      <x:c r="B107" s="3" t="str">
        <x:f>Matchschema!B102</x:f>
        <x:v>Semifinal</x:v>
      </x:c>
      <x:c r="C107" s="3" t="n">
        <x:f>Matchschema!C102</x:f>
        <x:v>0</x:v>
      </x:c>
      <x:c r="D107" s="4" t="n">
        <x:f>Matchschema!D102</x:f>
        <x:v>46217.875</x:v>
      </x:c>
      <x:c r="E107" s="3" t="str">
        <x:f>Matchschema!E102</x:f>
        <x:v>21:00</x:v>
      </x:c>
      <x:c r="F107" s="3" t="str">
        <x:f>Matchschema!H102</x:f>
        <x:v>Winner Match 97</x:v>
      </x:c>
      <x:c r="G107" s="3" t="str">
        <x:f>Matchschema!I102</x:f>
        <x:v>Winner Match 98</x:v>
      </x:c>
      <x:c r="H107" s="3" t="str">
        <x:f>Matchschema!J102</x:f>
        <x:v>AT&amp;T Stadium, Arlington (Dallas)</x:v>
      </x:c>
      <x:c r="I107" s="5"/>
      <x:c r="J107" s="5"/>
      <x:c r="K107" s="6" t="str">
        <x:f t="shared" si="3"/>
      </x:c>
      <x:c r="L107" s="8" t="str">
        <x:f>IF(Matchschema!$K102="","",IF(AND(I107=Matchschema!$K102,J107=Matchschema!$L102),Regler!$B$4,IF(K107=Matchschema!$M102,Regler!$B$5,0)))</x:f>
      </x:c>
      <x:c r="M107" s="3"/>
    </x:row>
    <x:row r="108" ht="15">
      <x:c r="A108" s="3" t="n">
        <x:f>Matchschema!A103</x:f>
        <x:v>102</x:v>
      </x:c>
      <x:c r="B108" s="3" t="str">
        <x:f>Matchschema!B103</x:f>
        <x:v>Semifinal</x:v>
      </x:c>
      <x:c r="C108" s="3" t="n">
        <x:f>Matchschema!C103</x:f>
        <x:v>0</x:v>
      </x:c>
      <x:c r="D108" s="4" t="n">
        <x:f>Matchschema!D103</x:f>
        <x:v>46218.875</x:v>
      </x:c>
      <x:c r="E108" s="3" t="str">
        <x:f>Matchschema!E103</x:f>
        <x:v>21:00</x:v>
      </x:c>
      <x:c r="F108" s="3" t="str">
        <x:f>Matchschema!H103</x:f>
        <x:v>Winner Match 99</x:v>
      </x:c>
      <x:c r="G108" s="3" t="str">
        <x:f>Matchschema!I103</x:f>
        <x:v>Winner Match 100</x:v>
      </x:c>
      <x:c r="H108" s="3" t="str">
        <x:f>Matchschema!J103</x:f>
        <x:v>Mercedes-Benz Stadium, Atlanta</x:v>
      </x:c>
      <x:c r="I108" s="5"/>
      <x:c r="J108" s="5"/>
      <x:c r="K108" s="6" t="str">
        <x:f t="shared" si="3"/>
      </x:c>
      <x:c r="L108" s="8" t="str">
        <x:f>IF(Matchschema!$K103="","",IF(AND(I108=Matchschema!$K103,J108=Matchschema!$L103),Regler!$B$4,IF(K108=Matchschema!$M103,Regler!$B$5,0)))</x:f>
      </x:c>
      <x:c r="M108" s="3"/>
    </x:row>
    <x:row r="109" ht="15">
      <x:c r="A109" s="3" t="n">
        <x:f>Matchschema!A104</x:f>
        <x:v>103</x:v>
      </x:c>
      <x:c r="B109" s="3" t="str">
        <x:f>Matchschema!B104</x:f>
        <x:v>Bronsmatch</x:v>
      </x:c>
      <x:c r="C109" s="3" t="n">
        <x:f>Matchschema!C104</x:f>
        <x:v>0</x:v>
      </x:c>
      <x:c r="D109" s="4" t="n">
        <x:f>Matchschema!D104</x:f>
        <x:v>46221.958333333336</x:v>
      </x:c>
      <x:c r="E109" s="3" t="str">
        <x:f>Matchschema!E104</x:f>
        <x:v>23:00</x:v>
      </x:c>
      <x:c r="F109" s="3" t="str">
        <x:f>Matchschema!H104</x:f>
        <x:v>Loser Match 101</x:v>
      </x:c>
      <x:c r="G109" s="3" t="str">
        <x:f>Matchschema!I104</x:f>
        <x:v>Loser Match 102</x:v>
      </x:c>
      <x:c r="H109" s="3" t="str">
        <x:f>Matchschema!J104</x:f>
        <x:v>Hard Rock Stadium, Miami Gardens</x:v>
      </x:c>
      <x:c r="I109" s="5"/>
      <x:c r="J109" s="5"/>
      <x:c r="K109" s="6" t="str">
        <x:f t="shared" si="3"/>
      </x:c>
      <x:c r="L109" s="8" t="str">
        <x:f>IF(Matchschema!$K104="","",IF(AND(I109=Matchschema!$K104,J109=Matchschema!$L104),Regler!$B$4,IF(K109=Matchschema!$M104,Regler!$B$5,0)))</x:f>
      </x:c>
      <x:c r="M109" s="3"/>
    </x:row>
    <x:row r="110" ht="15">
      <x:c r="A110" s="3" t="n">
        <x:f>Matchschema!A105</x:f>
        <x:v>104</x:v>
      </x:c>
      <x:c r="B110" s="3" t="str">
        <x:f>Matchschema!B105</x:f>
        <x:v>Final</x:v>
      </x:c>
      <x:c r="C110" s="3" t="n">
        <x:f>Matchschema!C105</x:f>
        <x:v>0</x:v>
      </x:c>
      <x:c r="D110" s="4" t="n">
        <x:f>Matchschema!D105</x:f>
        <x:v>46222.875</x:v>
      </x:c>
      <x:c r="E110" s="3" t="str">
        <x:f>Matchschema!E105</x:f>
        <x:v>21:00</x:v>
      </x:c>
      <x:c r="F110" s="3" t="str">
        <x:f>Matchschema!H105</x:f>
        <x:v>Winner Match 101</x:v>
      </x:c>
      <x:c r="G110" s="3" t="str">
        <x:f>Matchschema!I105</x:f>
        <x:v>Winner Match 102</x:v>
      </x:c>
      <x:c r="H110" s="3" t="str">
        <x:f>Matchschema!J105</x:f>
        <x:v>MetLife Stadium, East Rutherford, NJ</x:v>
      </x:c>
      <x:c r="I110" s="5"/>
      <x:c r="J110" s="5"/>
      <x:c r="K110" s="6" t="str">
        <x:f t="shared" si="3"/>
      </x:c>
      <x:c r="L110" s="8" t="str">
        <x:f>IF(Matchschema!$K105="","",IF(AND(I110=Matchschema!$K105,J110=Matchschema!$L105),Regler!$B$4,IF(K110=Matchschema!$M105,Regler!$B$5,0)))</x:f>
      </x:c>
      <x:c r="M110" s="3"/>
    </x:row>
  </x:sheetData>
  <x:mergeCells>
    <x:mergeCell ref="A1:M1"/>
    <x:mergeCell ref="B2:D2"/>
  </x:mergeCells>
  <x:dataValidations count="1">
    <x:dataValidation sqref="I7:J11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c52f1647eee4c98"/>
  </x:tableParts>
</x:worksheet>
</file>